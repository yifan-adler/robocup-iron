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WHUT\ROBOCUP\2025\算法优化\"/>
    </mc:Choice>
  </mc:AlternateContent>
  <xr:revisionPtr revIDLastSave="0" documentId="13_ncr:1_{269516AF-09CA-4D51-B647-083E151B796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  <sheet name="总分" sheetId="3" r:id="rId3"/>
    <sheet name="Sheet3" sheetId="4" r:id="rId4"/>
  </sheets>
  <definedNames>
    <definedName name="_xlnm._FilterDatabase" localSheetId="1" hidden="1">Sheet2!$A$4:$AA$39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4" l="1"/>
  <c r="B23" i="4"/>
  <c r="M40" i="2"/>
  <c r="AA40" i="2"/>
  <c r="Z40" i="2"/>
  <c r="L40" i="2"/>
  <c r="K40" i="2"/>
  <c r="V40" i="2"/>
  <c r="U40" i="2"/>
  <c r="J40" i="2"/>
  <c r="S40" i="2"/>
  <c r="R40" i="2"/>
  <c r="Q40" i="2"/>
  <c r="P40" i="2"/>
  <c r="B40" i="2"/>
  <c r="G40" i="2"/>
  <c r="F40" i="2"/>
  <c r="E40" i="2"/>
  <c r="C40" i="2"/>
  <c r="C5" i="3"/>
  <c r="C7" i="3" s="1"/>
  <c r="D5" i="3"/>
  <c r="D7" i="3" s="1"/>
  <c r="E5" i="3"/>
  <c r="E7" i="3" s="1"/>
  <c r="F5" i="3"/>
  <c r="F7" i="3" s="1"/>
  <c r="G5" i="3"/>
  <c r="G7" i="3" s="1"/>
  <c r="H5" i="3"/>
  <c r="H7" i="3" s="1"/>
  <c r="I5" i="3"/>
  <c r="I7" i="3" s="1"/>
  <c r="J5" i="3"/>
  <c r="J7" i="3" s="1"/>
  <c r="K5" i="3"/>
  <c r="K7" i="3" s="1"/>
  <c r="M5" i="3"/>
  <c r="M7" i="3" s="1"/>
  <c r="B5" i="3"/>
  <c r="B7" i="3" s="1"/>
  <c r="L40" i="1"/>
  <c r="T40" i="1"/>
  <c r="U40" i="1"/>
  <c r="AG40" i="1"/>
  <c r="AD40" i="1"/>
  <c r="AC40" i="1"/>
  <c r="AA40" i="1"/>
  <c r="Z40" i="1"/>
  <c r="X40" i="1"/>
  <c r="W40" i="1"/>
  <c r="V40" i="1"/>
  <c r="D40" i="1"/>
  <c r="C40" i="1"/>
  <c r="P40" i="1"/>
  <c r="M40" i="1"/>
  <c r="J40" i="1"/>
  <c r="I40" i="1"/>
  <c r="G40" i="1"/>
  <c r="F40" i="1"/>
  <c r="E40" i="1"/>
  <c r="M8" i="3" l="1"/>
  <c r="K8" i="3"/>
  <c r="F8" i="3"/>
  <c r="E8" i="3"/>
  <c r="H8" i="3"/>
  <c r="I8" i="3"/>
  <c r="G8" i="3"/>
  <c r="B8" i="3"/>
  <c r="C8" i="3"/>
  <c r="D8" i="3"/>
</calcChain>
</file>

<file path=xl/sharedStrings.xml><?xml version="1.0" encoding="utf-8"?>
<sst xmlns="http://schemas.openxmlformats.org/spreadsheetml/2006/main" count="145" uniqueCount="42">
  <si>
    <t>学校</t>
    <phoneticPr fontId="1" type="noConversion"/>
  </si>
  <si>
    <t>队伍</t>
    <phoneticPr fontId="1" type="noConversion"/>
  </si>
  <si>
    <t>分数</t>
    <phoneticPr fontId="1" type="noConversion"/>
  </si>
  <si>
    <t>武汉理工</t>
    <phoneticPr fontId="1" type="noConversion"/>
  </si>
  <si>
    <t>安大</t>
    <phoneticPr fontId="1" type="noConversion"/>
  </si>
  <si>
    <t>上海大学</t>
    <phoneticPr fontId="1" type="noConversion"/>
  </si>
  <si>
    <t>重庆科技</t>
    <phoneticPr fontId="1" type="noConversion"/>
  </si>
  <si>
    <t>南理工</t>
    <phoneticPr fontId="1" type="noConversion"/>
  </si>
  <si>
    <t>西工大</t>
    <phoneticPr fontId="1" type="noConversion"/>
  </si>
  <si>
    <t>浙工大</t>
    <phoneticPr fontId="1" type="noConversion"/>
  </si>
  <si>
    <t>西北</t>
    <phoneticPr fontId="1" type="noConversion"/>
  </si>
  <si>
    <t>重庆</t>
    <phoneticPr fontId="1" type="noConversion"/>
  </si>
  <si>
    <t>伯乐飞马</t>
    <phoneticPr fontId="1" type="noConversion"/>
  </si>
  <si>
    <t>dream1</t>
    <phoneticPr fontId="1" type="noConversion"/>
  </si>
  <si>
    <t>drenm2</t>
    <phoneticPr fontId="1" type="noConversion"/>
  </si>
  <si>
    <t>小仔</t>
    <phoneticPr fontId="1" type="noConversion"/>
  </si>
  <si>
    <t>自强</t>
    <phoneticPr fontId="1" type="noConversion"/>
  </si>
  <si>
    <t>小利小李</t>
    <phoneticPr fontId="1" type="noConversion"/>
  </si>
  <si>
    <t>蒸蒸</t>
    <phoneticPr fontId="1" type="noConversion"/>
  </si>
  <si>
    <t>远航</t>
    <phoneticPr fontId="1" type="noConversion"/>
  </si>
  <si>
    <t>牛比</t>
    <phoneticPr fontId="1" type="noConversion"/>
  </si>
  <si>
    <t>不会</t>
    <phoneticPr fontId="1" type="noConversion"/>
  </si>
  <si>
    <t>学海</t>
    <phoneticPr fontId="1" type="noConversion"/>
  </si>
  <si>
    <t>小萌</t>
    <phoneticPr fontId="1" type="noConversion"/>
  </si>
  <si>
    <t>munin</t>
    <phoneticPr fontId="1" type="noConversion"/>
  </si>
  <si>
    <t>飞跃</t>
    <phoneticPr fontId="1" type="noConversion"/>
  </si>
  <si>
    <t>都对</t>
    <phoneticPr fontId="1" type="noConversion"/>
  </si>
  <si>
    <t>IT分数1</t>
    <phoneticPr fontId="1" type="noConversion"/>
  </si>
  <si>
    <t>NT分数1</t>
    <phoneticPr fontId="1" type="noConversion"/>
  </si>
  <si>
    <t>原stage1</t>
    <phoneticPr fontId="1" type="noConversion"/>
  </si>
  <si>
    <t>扣分</t>
    <phoneticPr fontId="1" type="noConversion"/>
  </si>
  <si>
    <t>stage1总分</t>
    <phoneticPr fontId="1" type="noConversion"/>
  </si>
  <si>
    <t>差距</t>
    <phoneticPr fontId="1" type="noConversion"/>
  </si>
  <si>
    <t>me</t>
    <phoneticPr fontId="1" type="noConversion"/>
  </si>
  <si>
    <t>stage2</t>
    <phoneticPr fontId="1" type="noConversion"/>
  </si>
  <si>
    <t>原</t>
    <phoneticPr fontId="1" type="noConversion"/>
  </si>
  <si>
    <t>现</t>
    <phoneticPr fontId="1" type="noConversion"/>
  </si>
  <si>
    <t>总</t>
    <phoneticPr fontId="1" type="noConversion"/>
  </si>
  <si>
    <t>题目出错</t>
    <phoneticPr fontId="1" type="noConversion"/>
  </si>
  <si>
    <t>题目有修改</t>
    <phoneticPr fontId="1" type="noConversion"/>
  </si>
  <si>
    <t>感觉是题目错误没有被发现</t>
    <phoneticPr fontId="1" type="noConversion"/>
  </si>
  <si>
    <t>goto题，感觉他们设置的任务数量上线比较高（不懂，他们为什么这么高）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</si>
</sst>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2" borderId="2" xfId="0" applyFill="1" applyBorder="1"/>
    <xf numFmtId="0" fontId="0" fillId="3" borderId="2" xfId="0" applyFill="1" applyBorder="1"/>
    <xf numFmtId="0" fontId="2" fillId="0" borderId="2" xfId="0" applyFont="1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"/>
  <sheetViews>
    <sheetView topLeftCell="H2" zoomScale="78" zoomScaleNormal="85" workbookViewId="0">
      <selection activeCell="M2" sqref="M1:M1048576"/>
    </sheetView>
  </sheetViews>
  <sheetFormatPr defaultRowHeight="13.9" x14ac:dyDescent="0.4"/>
  <cols>
    <col min="33" max="33" width="8.796875" customWidth="1"/>
  </cols>
  <sheetData>
    <row r="1" spans="1:33" s="1" customFormat="1" x14ac:dyDescent="0.4">
      <c r="A1" s="3" t="s">
        <v>0</v>
      </c>
      <c r="B1" s="3" t="s">
        <v>3</v>
      </c>
      <c r="C1" s="3" t="s">
        <v>4</v>
      </c>
      <c r="D1" s="3" t="s">
        <v>4</v>
      </c>
      <c r="E1" s="3" t="s">
        <v>3</v>
      </c>
      <c r="F1" s="3" t="s">
        <v>5</v>
      </c>
      <c r="G1" s="3" t="s">
        <v>3</v>
      </c>
      <c r="H1" s="3" t="s">
        <v>6</v>
      </c>
      <c r="I1" s="3" t="s">
        <v>7</v>
      </c>
      <c r="J1" s="3" t="s">
        <v>8</v>
      </c>
      <c r="K1" s="3" t="s">
        <v>6</v>
      </c>
      <c r="L1" s="3" t="s">
        <v>3</v>
      </c>
      <c r="M1" s="3" t="s">
        <v>10</v>
      </c>
      <c r="N1" s="3" t="s">
        <v>11</v>
      </c>
      <c r="O1" s="3" t="s">
        <v>11</v>
      </c>
      <c r="P1" s="3" t="s">
        <v>9</v>
      </c>
      <c r="Q1" s="3"/>
      <c r="R1" s="3" t="s">
        <v>0</v>
      </c>
      <c r="S1" s="3" t="s">
        <v>3</v>
      </c>
      <c r="T1" s="3" t="s">
        <v>4</v>
      </c>
      <c r="U1" s="3" t="s">
        <v>4</v>
      </c>
      <c r="V1" s="3" t="s">
        <v>3</v>
      </c>
      <c r="W1" s="3" t="s">
        <v>5</v>
      </c>
      <c r="X1" s="3" t="s">
        <v>3</v>
      </c>
      <c r="Y1" s="3" t="s">
        <v>6</v>
      </c>
      <c r="Z1" s="3" t="s">
        <v>7</v>
      </c>
      <c r="AA1" s="3" t="s">
        <v>8</v>
      </c>
      <c r="AB1" s="3" t="s">
        <v>6</v>
      </c>
      <c r="AC1" s="3" t="s">
        <v>3</v>
      </c>
      <c r="AD1" s="3" t="s">
        <v>10</v>
      </c>
      <c r="AE1" s="3" t="s">
        <v>11</v>
      </c>
      <c r="AF1" s="3" t="s">
        <v>11</v>
      </c>
      <c r="AG1" s="3" t="s">
        <v>9</v>
      </c>
    </row>
    <row r="2" spans="1:33" s="2" customFormat="1" x14ac:dyDescent="0.4">
      <c r="A2" s="4" t="s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/>
      <c r="R2" s="4" t="s">
        <v>1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4" t="s">
        <v>21</v>
      </c>
      <c r="AC2" s="4" t="s">
        <v>22</v>
      </c>
      <c r="AD2" s="4" t="s">
        <v>23</v>
      </c>
      <c r="AE2" s="4" t="s">
        <v>24</v>
      </c>
      <c r="AF2" s="4" t="s">
        <v>25</v>
      </c>
      <c r="AG2" s="4" t="s">
        <v>26</v>
      </c>
    </row>
    <row r="3" spans="1:33" x14ac:dyDescent="0.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2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x14ac:dyDescent="0.4">
      <c r="A4" s="3">
        <v>1</v>
      </c>
      <c r="B4" s="3"/>
      <c r="C4" s="3">
        <v>182</v>
      </c>
      <c r="D4" s="3">
        <v>182</v>
      </c>
      <c r="E4" s="3">
        <v>322</v>
      </c>
      <c r="F4" s="3">
        <v>700</v>
      </c>
      <c r="G4" s="3">
        <v>322</v>
      </c>
      <c r="H4" s="3"/>
      <c r="I4" s="3">
        <v>600</v>
      </c>
      <c r="J4" s="3">
        <v>698</v>
      </c>
      <c r="K4" s="3"/>
      <c r="L4" s="3">
        <v>698</v>
      </c>
      <c r="M4" s="3">
        <v>698</v>
      </c>
      <c r="N4" s="3"/>
      <c r="O4" s="3"/>
      <c r="P4" s="3">
        <v>600</v>
      </c>
      <c r="Q4" s="3"/>
      <c r="R4" s="3">
        <v>1</v>
      </c>
      <c r="S4" s="3"/>
      <c r="T4" s="3">
        <v>342</v>
      </c>
      <c r="U4" s="3">
        <v>342</v>
      </c>
      <c r="V4" s="3">
        <v>322</v>
      </c>
      <c r="W4" s="3">
        <v>698</v>
      </c>
      <c r="X4" s="3">
        <v>0</v>
      </c>
      <c r="Y4" s="3"/>
      <c r="Z4" s="3">
        <v>368</v>
      </c>
      <c r="AA4" s="3">
        <v>698</v>
      </c>
      <c r="AB4" s="3"/>
      <c r="AC4" s="3">
        <v>698</v>
      </c>
      <c r="AD4" s="3">
        <v>698</v>
      </c>
      <c r="AE4" s="3"/>
      <c r="AF4" s="3"/>
      <c r="AG4" s="7">
        <v>367</v>
      </c>
    </row>
    <row r="5" spans="1:33" s="2" customFormat="1" x14ac:dyDescent="0.4">
      <c r="A5" s="4">
        <v>2</v>
      </c>
      <c r="B5" s="4"/>
      <c r="C5" s="4">
        <v>155</v>
      </c>
      <c r="D5" s="4">
        <v>155</v>
      </c>
      <c r="E5" s="4">
        <v>620</v>
      </c>
      <c r="F5" s="4">
        <v>620</v>
      </c>
      <c r="G5" s="4">
        <v>712</v>
      </c>
      <c r="H5" s="4"/>
      <c r="I5" s="4">
        <v>0</v>
      </c>
      <c r="J5" s="4">
        <v>620</v>
      </c>
      <c r="K5" s="4"/>
      <c r="L5" s="4">
        <v>712</v>
      </c>
      <c r="M5" s="4">
        <v>620</v>
      </c>
      <c r="N5" s="4"/>
      <c r="O5" s="4"/>
      <c r="P5" s="4">
        <v>98</v>
      </c>
      <c r="Q5" s="4"/>
      <c r="R5" s="4">
        <v>2</v>
      </c>
      <c r="S5" s="4"/>
      <c r="T5" s="4">
        <v>155</v>
      </c>
      <c r="U5" s="4">
        <v>0</v>
      </c>
      <c r="V5" s="4">
        <v>620</v>
      </c>
      <c r="W5" s="4">
        <v>620</v>
      </c>
      <c r="X5" s="4">
        <v>710</v>
      </c>
      <c r="Y5" s="4"/>
      <c r="Z5" s="4">
        <v>92</v>
      </c>
      <c r="AA5" s="4">
        <v>620</v>
      </c>
      <c r="AB5" s="4"/>
      <c r="AC5" s="4">
        <v>0</v>
      </c>
      <c r="AD5" s="4">
        <v>620</v>
      </c>
      <c r="AE5" s="4"/>
      <c r="AF5" s="4"/>
      <c r="AG5" s="8">
        <v>98</v>
      </c>
    </row>
    <row r="6" spans="1:33" s="1" customFormat="1" x14ac:dyDescent="0.4">
      <c r="A6" s="3">
        <v>3</v>
      </c>
      <c r="B6" s="3"/>
      <c r="C6" s="3">
        <v>170</v>
      </c>
      <c r="D6" s="3">
        <v>170</v>
      </c>
      <c r="E6" s="3">
        <v>176</v>
      </c>
      <c r="F6" s="3">
        <v>114</v>
      </c>
      <c r="G6" s="3">
        <v>176</v>
      </c>
      <c r="H6" s="3"/>
      <c r="I6" s="3">
        <v>140</v>
      </c>
      <c r="J6" s="3">
        <v>210</v>
      </c>
      <c r="K6" s="3"/>
      <c r="L6" s="3">
        <v>190</v>
      </c>
      <c r="M6" s="3">
        <v>210</v>
      </c>
      <c r="N6" s="3"/>
      <c r="O6" s="3"/>
      <c r="P6" s="3">
        <v>190</v>
      </c>
      <c r="Q6" s="3"/>
      <c r="R6" s="3">
        <v>3</v>
      </c>
      <c r="S6" s="3"/>
      <c r="T6" s="3">
        <v>170</v>
      </c>
      <c r="U6" s="3">
        <v>170</v>
      </c>
      <c r="V6" s="3">
        <v>182</v>
      </c>
      <c r="W6" s="3">
        <v>120</v>
      </c>
      <c r="X6" s="3">
        <v>176</v>
      </c>
      <c r="Y6" s="3"/>
      <c r="Z6" s="3">
        <v>212</v>
      </c>
      <c r="AA6" s="3">
        <v>210</v>
      </c>
      <c r="AB6" s="3"/>
      <c r="AC6" s="3">
        <v>190</v>
      </c>
      <c r="AD6" s="3">
        <v>210</v>
      </c>
      <c r="AE6" s="3"/>
      <c r="AF6" s="3"/>
      <c r="AG6" s="7">
        <v>190</v>
      </c>
    </row>
    <row r="7" spans="1:33" s="2" customFormat="1" x14ac:dyDescent="0.4">
      <c r="A7" s="4">
        <v>4</v>
      </c>
      <c r="B7" s="4"/>
      <c r="C7" s="4">
        <v>188</v>
      </c>
      <c r="D7" s="4">
        <v>185</v>
      </c>
      <c r="E7" s="4">
        <v>188</v>
      </c>
      <c r="F7" s="4">
        <v>480</v>
      </c>
      <c r="G7" s="4">
        <v>188</v>
      </c>
      <c r="H7" s="4"/>
      <c r="I7" s="4">
        <v>0</v>
      </c>
      <c r="J7" s="4">
        <v>188</v>
      </c>
      <c r="K7" s="4"/>
      <c r="L7" s="4">
        <v>480</v>
      </c>
      <c r="M7" s="4">
        <v>188</v>
      </c>
      <c r="N7" s="4"/>
      <c r="O7" s="4"/>
      <c r="P7" s="4">
        <v>468</v>
      </c>
      <c r="Q7" s="4"/>
      <c r="R7" s="4">
        <v>4</v>
      </c>
      <c r="S7" s="4"/>
      <c r="T7" s="4">
        <v>188</v>
      </c>
      <c r="U7" s="4">
        <v>185</v>
      </c>
      <c r="V7" s="4">
        <v>148</v>
      </c>
      <c r="W7" s="4">
        <v>480</v>
      </c>
      <c r="X7" s="4">
        <v>188</v>
      </c>
      <c r="Y7" s="4"/>
      <c r="Z7" s="4">
        <v>90</v>
      </c>
      <c r="AA7" s="4">
        <v>188</v>
      </c>
      <c r="AB7" s="4"/>
      <c r="AC7" s="4">
        <v>480</v>
      </c>
      <c r="AD7" s="4">
        <v>188</v>
      </c>
      <c r="AE7" s="4"/>
      <c r="AF7" s="4"/>
      <c r="AG7" s="8">
        <v>468</v>
      </c>
    </row>
    <row r="8" spans="1:33" s="1" customFormat="1" x14ac:dyDescent="0.4">
      <c r="A8" s="3">
        <v>5</v>
      </c>
      <c r="B8" s="3"/>
      <c r="C8" s="3">
        <v>483</v>
      </c>
      <c r="D8" s="3">
        <v>480</v>
      </c>
      <c r="E8" s="3">
        <v>594</v>
      </c>
      <c r="F8" s="3">
        <v>520</v>
      </c>
      <c r="G8" s="3">
        <v>480</v>
      </c>
      <c r="H8" s="3"/>
      <c r="I8" s="3">
        <v>608</v>
      </c>
      <c r="J8" s="3">
        <v>374</v>
      </c>
      <c r="K8" s="3"/>
      <c r="L8" s="3">
        <v>648</v>
      </c>
      <c r="M8" s="3">
        <v>514</v>
      </c>
      <c r="N8" s="3"/>
      <c r="O8" s="3"/>
      <c r="P8" s="3">
        <v>494</v>
      </c>
      <c r="Q8" s="3"/>
      <c r="R8" s="3">
        <v>5</v>
      </c>
      <c r="S8" s="3"/>
      <c r="T8" s="3">
        <v>483</v>
      </c>
      <c r="U8" s="3">
        <v>480</v>
      </c>
      <c r="V8" s="3">
        <v>592</v>
      </c>
      <c r="W8" s="3">
        <v>520</v>
      </c>
      <c r="X8" s="3">
        <v>480</v>
      </c>
      <c r="Y8" s="3"/>
      <c r="Z8" s="3">
        <v>628</v>
      </c>
      <c r="AA8" s="3">
        <v>374</v>
      </c>
      <c r="AB8" s="3"/>
      <c r="AC8" s="3">
        <v>648</v>
      </c>
      <c r="AD8" s="3">
        <v>514</v>
      </c>
      <c r="AE8" s="3"/>
      <c r="AF8" s="3"/>
      <c r="AG8" s="7">
        <v>664</v>
      </c>
    </row>
    <row r="9" spans="1:33" s="2" customFormat="1" x14ac:dyDescent="0.4">
      <c r="A9" s="4">
        <v>6</v>
      </c>
      <c r="B9" s="4"/>
      <c r="C9" s="4">
        <v>252</v>
      </c>
      <c r="D9" s="4">
        <v>249</v>
      </c>
      <c r="E9" s="4">
        <v>54</v>
      </c>
      <c r="F9" s="4">
        <v>512</v>
      </c>
      <c r="G9" s="4">
        <v>160</v>
      </c>
      <c r="H9" s="4"/>
      <c r="I9" s="4">
        <v>340</v>
      </c>
      <c r="J9" s="4">
        <v>166</v>
      </c>
      <c r="K9" s="4"/>
      <c r="L9" s="4">
        <v>272</v>
      </c>
      <c r="M9" s="4">
        <v>266</v>
      </c>
      <c r="N9" s="4"/>
      <c r="O9" s="4"/>
      <c r="P9" s="4">
        <v>228</v>
      </c>
      <c r="Q9" s="4"/>
      <c r="R9" s="4">
        <v>6</v>
      </c>
      <c r="S9" s="4"/>
      <c r="T9" s="4">
        <v>252</v>
      </c>
      <c r="U9" s="4">
        <v>249</v>
      </c>
      <c r="V9" s="4">
        <v>220</v>
      </c>
      <c r="W9" s="4">
        <v>512</v>
      </c>
      <c r="X9" s="4">
        <v>160</v>
      </c>
      <c r="Y9" s="4"/>
      <c r="Z9" s="4">
        <v>188</v>
      </c>
      <c r="AA9" s="4">
        <v>166</v>
      </c>
      <c r="AB9" s="4"/>
      <c r="AC9" s="4">
        <v>272</v>
      </c>
      <c r="AD9" s="4">
        <v>266</v>
      </c>
      <c r="AE9" s="4"/>
      <c r="AF9" s="4"/>
      <c r="AG9" s="8">
        <v>228</v>
      </c>
    </row>
    <row r="10" spans="1:33" s="1" customFormat="1" x14ac:dyDescent="0.4">
      <c r="A10" s="3">
        <v>7</v>
      </c>
      <c r="B10" s="3"/>
      <c r="C10" s="3">
        <v>284</v>
      </c>
      <c r="D10" s="3">
        <v>296</v>
      </c>
      <c r="E10" s="3">
        <v>1634</v>
      </c>
      <c r="F10" s="3">
        <v>298</v>
      </c>
      <c r="G10" s="3">
        <v>0</v>
      </c>
      <c r="H10" s="3"/>
      <c r="I10" s="3">
        <v>0</v>
      </c>
      <c r="J10" s="3">
        <v>62</v>
      </c>
      <c r="K10" s="3"/>
      <c r="L10" s="3">
        <v>310</v>
      </c>
      <c r="M10" s="3">
        <v>300</v>
      </c>
      <c r="N10" s="3"/>
      <c r="O10" s="3"/>
      <c r="P10" s="3">
        <v>1232</v>
      </c>
      <c r="Q10" s="3"/>
      <c r="R10" s="3">
        <v>7</v>
      </c>
      <c r="S10" s="3"/>
      <c r="T10" s="3">
        <v>284</v>
      </c>
      <c r="U10" s="3">
        <v>296</v>
      </c>
      <c r="V10" s="3">
        <v>1632</v>
      </c>
      <c r="W10" s="3">
        <v>298</v>
      </c>
      <c r="X10" s="3">
        <v>320</v>
      </c>
      <c r="Y10" s="3"/>
      <c r="Z10" s="3">
        <v>100</v>
      </c>
      <c r="AA10" s="3">
        <v>60</v>
      </c>
      <c r="AB10" s="3"/>
      <c r="AC10" s="3">
        <v>310</v>
      </c>
      <c r="AD10" s="3">
        <v>302</v>
      </c>
      <c r="AE10" s="3"/>
      <c r="AF10" s="3"/>
      <c r="AG10" s="7">
        <v>1230</v>
      </c>
    </row>
    <row r="11" spans="1:33" s="2" customFormat="1" x14ac:dyDescent="0.4">
      <c r="A11" s="4">
        <v>8</v>
      </c>
      <c r="B11" s="4"/>
      <c r="C11" s="4">
        <v>123</v>
      </c>
      <c r="D11" s="4">
        <v>123</v>
      </c>
      <c r="E11" s="4">
        <v>322</v>
      </c>
      <c r="F11" s="4">
        <v>700</v>
      </c>
      <c r="G11" s="4">
        <v>322</v>
      </c>
      <c r="H11" s="4"/>
      <c r="I11" s="4">
        <v>600</v>
      </c>
      <c r="J11" s="4">
        <v>376</v>
      </c>
      <c r="K11" s="4"/>
      <c r="L11" s="4">
        <v>698</v>
      </c>
      <c r="M11" s="4">
        <v>376</v>
      </c>
      <c r="N11" s="4"/>
      <c r="O11" s="4"/>
      <c r="P11" s="4">
        <v>698</v>
      </c>
      <c r="Q11" s="4"/>
      <c r="R11" s="4">
        <v>8</v>
      </c>
      <c r="S11" s="4"/>
      <c r="T11" s="4">
        <v>0</v>
      </c>
      <c r="U11" s="4">
        <v>342</v>
      </c>
      <c r="V11" s="4">
        <v>322</v>
      </c>
      <c r="W11" s="4">
        <v>698</v>
      </c>
      <c r="X11" s="4">
        <v>322</v>
      </c>
      <c r="Y11" s="4"/>
      <c r="Z11" s="4">
        <v>368</v>
      </c>
      <c r="AA11" s="4">
        <v>374</v>
      </c>
      <c r="AB11" s="4"/>
      <c r="AC11" s="4">
        <v>698</v>
      </c>
      <c r="AD11" s="4">
        <v>374</v>
      </c>
      <c r="AE11" s="4"/>
      <c r="AF11" s="4"/>
      <c r="AG11" s="8">
        <v>600</v>
      </c>
    </row>
    <row r="12" spans="1:33" s="1" customFormat="1" x14ac:dyDescent="0.4">
      <c r="A12" s="3">
        <v>9</v>
      </c>
      <c r="B12" s="3"/>
      <c r="C12" s="3">
        <v>442</v>
      </c>
      <c r="D12" s="3">
        <v>70</v>
      </c>
      <c r="E12" s="3">
        <v>402</v>
      </c>
      <c r="F12" s="3">
        <v>410</v>
      </c>
      <c r="G12" s="3">
        <v>402</v>
      </c>
      <c r="H12" s="3"/>
      <c r="I12" s="3">
        <v>82</v>
      </c>
      <c r="J12" s="3">
        <v>410</v>
      </c>
      <c r="K12" s="3"/>
      <c r="L12" s="3">
        <v>410</v>
      </c>
      <c r="M12" s="3">
        <v>410</v>
      </c>
      <c r="N12" s="3"/>
      <c r="O12" s="3"/>
      <c r="P12" s="3">
        <v>407</v>
      </c>
      <c r="Q12" s="3"/>
      <c r="R12" s="3">
        <v>9</v>
      </c>
      <c r="S12" s="3"/>
      <c r="T12" s="3">
        <v>442</v>
      </c>
      <c r="U12" s="3">
        <v>70</v>
      </c>
      <c r="V12" s="3">
        <v>402</v>
      </c>
      <c r="W12" s="3">
        <v>410</v>
      </c>
      <c r="X12" s="3">
        <v>402</v>
      </c>
      <c r="Y12" s="3"/>
      <c r="Z12" s="3">
        <v>0</v>
      </c>
      <c r="AA12" s="3">
        <v>410</v>
      </c>
      <c r="AB12" s="3"/>
      <c r="AC12" s="3">
        <v>410</v>
      </c>
      <c r="AD12" s="3">
        <v>410</v>
      </c>
      <c r="AE12" s="3"/>
      <c r="AF12" s="3"/>
      <c r="AG12" s="7">
        <v>98</v>
      </c>
    </row>
    <row r="13" spans="1:33" s="2" customFormat="1" x14ac:dyDescent="0.4">
      <c r="A13" s="4">
        <v>10</v>
      </c>
      <c r="B13" s="4"/>
      <c r="C13" s="4">
        <v>188</v>
      </c>
      <c r="D13" s="4">
        <v>187</v>
      </c>
      <c r="E13" s="4">
        <v>190</v>
      </c>
      <c r="F13" s="4">
        <v>380</v>
      </c>
      <c r="G13" s="4">
        <v>190</v>
      </c>
      <c r="H13" s="4"/>
      <c r="I13" s="4">
        <v>0</v>
      </c>
      <c r="J13" s="4">
        <v>188</v>
      </c>
      <c r="K13" s="4"/>
      <c r="L13" s="4">
        <v>382</v>
      </c>
      <c r="M13" s="4">
        <v>188</v>
      </c>
      <c r="N13" s="4"/>
      <c r="O13" s="4"/>
      <c r="P13" s="4">
        <v>370</v>
      </c>
      <c r="Q13" s="4"/>
      <c r="R13" s="4">
        <v>10</v>
      </c>
      <c r="S13" s="4"/>
      <c r="T13" s="4">
        <v>0</v>
      </c>
      <c r="U13" s="4">
        <v>185</v>
      </c>
      <c r="V13" s="4">
        <v>190</v>
      </c>
      <c r="W13" s="4">
        <v>382</v>
      </c>
      <c r="X13" s="4">
        <v>190</v>
      </c>
      <c r="Y13" s="4"/>
      <c r="Z13" s="4">
        <v>92</v>
      </c>
      <c r="AA13" s="4">
        <v>188</v>
      </c>
      <c r="AB13" s="4"/>
      <c r="AC13" s="4">
        <v>380</v>
      </c>
      <c r="AD13" s="4">
        <v>188</v>
      </c>
      <c r="AE13" s="4"/>
      <c r="AF13" s="4"/>
      <c r="AG13" s="8">
        <v>368</v>
      </c>
    </row>
    <row r="14" spans="1:33" s="1" customFormat="1" x14ac:dyDescent="0.4">
      <c r="A14" s="3">
        <v>11</v>
      </c>
      <c r="B14" s="3"/>
      <c r="C14" s="3">
        <v>123</v>
      </c>
      <c r="D14" s="3">
        <v>123</v>
      </c>
      <c r="E14" s="3">
        <v>322</v>
      </c>
      <c r="F14" s="3">
        <v>700</v>
      </c>
      <c r="G14" s="3">
        <v>322</v>
      </c>
      <c r="H14" s="3"/>
      <c r="I14" s="3">
        <v>600</v>
      </c>
      <c r="J14" s="3">
        <v>376</v>
      </c>
      <c r="K14" s="3"/>
      <c r="L14" s="3">
        <v>698</v>
      </c>
      <c r="M14" s="3">
        <v>374</v>
      </c>
      <c r="N14" s="3"/>
      <c r="O14" s="3"/>
      <c r="P14" s="3">
        <v>698</v>
      </c>
      <c r="Q14" s="3"/>
      <c r="R14" s="3">
        <v>11</v>
      </c>
      <c r="S14" s="3"/>
      <c r="T14" s="3">
        <v>342</v>
      </c>
      <c r="U14" s="3">
        <v>342</v>
      </c>
      <c r="V14" s="3">
        <v>322</v>
      </c>
      <c r="W14" s="3">
        <v>698</v>
      </c>
      <c r="X14" s="3">
        <v>322</v>
      </c>
      <c r="Y14" s="3"/>
      <c r="Z14" s="3">
        <v>368</v>
      </c>
      <c r="AA14" s="3">
        <v>376</v>
      </c>
      <c r="AB14" s="3"/>
      <c r="AC14" s="3">
        <v>698</v>
      </c>
      <c r="AD14" s="3">
        <v>374</v>
      </c>
      <c r="AE14" s="3"/>
      <c r="AF14" s="3"/>
      <c r="AG14" s="7">
        <v>600</v>
      </c>
    </row>
    <row r="15" spans="1:33" s="2" customFormat="1" x14ac:dyDescent="0.4">
      <c r="A15" s="4">
        <v>12</v>
      </c>
      <c r="B15" s="4"/>
      <c r="C15" s="4">
        <v>222</v>
      </c>
      <c r="D15" s="4">
        <v>220</v>
      </c>
      <c r="E15" s="4">
        <v>128</v>
      </c>
      <c r="F15" s="4">
        <v>528</v>
      </c>
      <c r="G15" s="4">
        <v>534</v>
      </c>
      <c r="H15" s="4"/>
      <c r="I15" s="4">
        <v>440</v>
      </c>
      <c r="J15" s="4">
        <v>310</v>
      </c>
      <c r="K15" s="4"/>
      <c r="L15" s="4">
        <v>228</v>
      </c>
      <c r="M15" s="4">
        <v>376</v>
      </c>
      <c r="N15" s="4"/>
      <c r="O15" s="4"/>
      <c r="P15" s="4">
        <v>376</v>
      </c>
      <c r="Q15" s="4"/>
      <c r="R15" s="4">
        <v>12</v>
      </c>
      <c r="S15" s="4"/>
      <c r="T15" s="4">
        <v>222</v>
      </c>
      <c r="U15" s="4">
        <v>222</v>
      </c>
      <c r="V15" s="4">
        <v>128</v>
      </c>
      <c r="W15" s="4">
        <v>526</v>
      </c>
      <c r="X15" s="4">
        <v>532</v>
      </c>
      <c r="Y15" s="4"/>
      <c r="Z15" s="4">
        <v>168</v>
      </c>
      <c r="AA15" s="4">
        <v>308</v>
      </c>
      <c r="AB15" s="4"/>
      <c r="AC15" s="4">
        <v>228</v>
      </c>
      <c r="AD15" s="4">
        <v>376</v>
      </c>
      <c r="AE15" s="4"/>
      <c r="AF15" s="4"/>
      <c r="AG15" s="8">
        <v>374</v>
      </c>
    </row>
    <row r="16" spans="1:33" s="1" customFormat="1" x14ac:dyDescent="0.4">
      <c r="A16" s="3">
        <v>13</v>
      </c>
      <c r="B16" s="3"/>
      <c r="C16" s="3">
        <v>430</v>
      </c>
      <c r="D16" s="3">
        <v>82</v>
      </c>
      <c r="E16" s="3">
        <v>430</v>
      </c>
      <c r="F16" s="3">
        <v>430</v>
      </c>
      <c r="G16" s="3">
        <v>430</v>
      </c>
      <c r="H16" s="3"/>
      <c r="I16" s="3">
        <v>0</v>
      </c>
      <c r="J16" s="3">
        <v>430</v>
      </c>
      <c r="K16" s="3"/>
      <c r="L16" s="3">
        <v>430</v>
      </c>
      <c r="M16" s="3">
        <v>430</v>
      </c>
      <c r="N16" s="3"/>
      <c r="O16" s="3"/>
      <c r="P16" s="3">
        <v>428</v>
      </c>
      <c r="Q16" s="3"/>
      <c r="R16" s="3">
        <v>13</v>
      </c>
      <c r="S16" s="3"/>
      <c r="T16" s="3">
        <v>430</v>
      </c>
      <c r="U16" s="3">
        <v>82</v>
      </c>
      <c r="V16" s="3">
        <v>430</v>
      </c>
      <c r="W16" s="3">
        <v>430</v>
      </c>
      <c r="X16" s="3">
        <v>430</v>
      </c>
      <c r="Y16" s="3"/>
      <c r="Z16" s="3">
        <v>100</v>
      </c>
      <c r="AA16" s="3">
        <v>430</v>
      </c>
      <c r="AB16" s="3"/>
      <c r="AC16" s="3">
        <v>430</v>
      </c>
      <c r="AD16" s="3">
        <v>430</v>
      </c>
      <c r="AE16" s="3"/>
      <c r="AF16" s="3"/>
      <c r="AG16" s="7">
        <v>0</v>
      </c>
    </row>
    <row r="17" spans="1:33" s="2" customFormat="1" x14ac:dyDescent="0.4">
      <c r="A17" s="4">
        <v>14</v>
      </c>
      <c r="B17" s="4"/>
      <c r="C17" s="4">
        <v>188</v>
      </c>
      <c r="D17" s="4">
        <v>185</v>
      </c>
      <c r="E17" s="4">
        <v>190</v>
      </c>
      <c r="F17" s="4">
        <v>500</v>
      </c>
      <c r="G17" s="4">
        <v>190</v>
      </c>
      <c r="H17" s="4"/>
      <c r="I17" s="4">
        <v>0</v>
      </c>
      <c r="J17" s="4">
        <v>188</v>
      </c>
      <c r="K17" s="4"/>
      <c r="L17" s="4">
        <v>500</v>
      </c>
      <c r="M17" s="4">
        <v>188</v>
      </c>
      <c r="N17" s="4"/>
      <c r="O17" s="4"/>
      <c r="P17" s="4">
        <v>488</v>
      </c>
      <c r="Q17" s="4"/>
      <c r="R17" s="4">
        <v>14</v>
      </c>
      <c r="S17" s="4"/>
      <c r="T17" s="4">
        <v>188</v>
      </c>
      <c r="U17" s="4">
        <v>0</v>
      </c>
      <c r="V17" s="4">
        <v>188</v>
      </c>
      <c r="W17" s="4">
        <v>502</v>
      </c>
      <c r="X17" s="4">
        <v>188</v>
      </c>
      <c r="Y17" s="4"/>
      <c r="Z17" s="4">
        <v>90</v>
      </c>
      <c r="AA17" s="4">
        <v>188</v>
      </c>
      <c r="AB17" s="4"/>
      <c r="AC17" s="4">
        <v>500</v>
      </c>
      <c r="AD17" s="4">
        <v>188</v>
      </c>
      <c r="AE17" s="4"/>
      <c r="AF17" s="4"/>
      <c r="AG17" s="8">
        <v>488</v>
      </c>
    </row>
    <row r="18" spans="1:33" s="1" customFormat="1" x14ac:dyDescent="0.4">
      <c r="A18" s="3">
        <v>15</v>
      </c>
      <c r="B18" s="3"/>
      <c r="C18" s="3">
        <v>166</v>
      </c>
      <c r="D18" s="3">
        <v>166</v>
      </c>
      <c r="E18" s="3">
        <v>734</v>
      </c>
      <c r="F18" s="3">
        <v>734</v>
      </c>
      <c r="G18" s="3">
        <v>734</v>
      </c>
      <c r="H18" s="3"/>
      <c r="I18" s="3">
        <v>0</v>
      </c>
      <c r="J18" s="3">
        <v>734</v>
      </c>
      <c r="K18" s="3"/>
      <c r="L18" s="3">
        <v>734</v>
      </c>
      <c r="M18" s="3">
        <v>732</v>
      </c>
      <c r="N18" s="3"/>
      <c r="O18" s="3"/>
      <c r="P18" s="3">
        <v>98</v>
      </c>
      <c r="Q18" s="3"/>
      <c r="R18" s="3">
        <v>15</v>
      </c>
      <c r="S18" s="3"/>
      <c r="T18" s="3">
        <v>166</v>
      </c>
      <c r="U18" s="3">
        <v>166</v>
      </c>
      <c r="V18" s="3">
        <v>732</v>
      </c>
      <c r="W18" s="3">
        <v>0</v>
      </c>
      <c r="X18" s="3">
        <v>732</v>
      </c>
      <c r="Y18" s="3"/>
      <c r="Z18" s="3">
        <v>88</v>
      </c>
      <c r="AA18" s="3">
        <v>734</v>
      </c>
      <c r="AB18" s="3"/>
      <c r="AC18" s="3">
        <v>734</v>
      </c>
      <c r="AD18" s="3">
        <v>734</v>
      </c>
      <c r="AE18" s="3"/>
      <c r="AF18" s="3"/>
      <c r="AG18" s="7">
        <v>0</v>
      </c>
    </row>
    <row r="19" spans="1:33" s="2" customFormat="1" x14ac:dyDescent="0.4">
      <c r="A19" s="4">
        <v>16</v>
      </c>
      <c r="B19" s="4"/>
      <c r="C19" s="4">
        <v>607</v>
      </c>
      <c r="D19" s="4">
        <v>604</v>
      </c>
      <c r="E19" s="4">
        <v>304</v>
      </c>
      <c r="F19" s="4">
        <v>732</v>
      </c>
      <c r="G19" s="4">
        <v>300</v>
      </c>
      <c r="H19" s="4"/>
      <c r="I19" s="4">
        <v>218</v>
      </c>
      <c r="J19" s="4">
        <v>348</v>
      </c>
      <c r="K19" s="4"/>
      <c r="L19" s="4">
        <v>726</v>
      </c>
      <c r="M19" s="4">
        <v>740</v>
      </c>
      <c r="N19" s="4"/>
      <c r="O19" s="4"/>
      <c r="P19" s="4">
        <v>570</v>
      </c>
      <c r="Q19" s="4"/>
      <c r="R19" s="4">
        <v>16</v>
      </c>
      <c r="S19" s="4"/>
      <c r="T19" s="4">
        <v>607</v>
      </c>
      <c r="U19" s="4">
        <v>0</v>
      </c>
      <c r="V19" s="4">
        <v>320</v>
      </c>
      <c r="W19" s="4">
        <v>732</v>
      </c>
      <c r="X19" s="4">
        <v>300</v>
      </c>
      <c r="Y19" s="4"/>
      <c r="Z19" s="4">
        <v>372</v>
      </c>
      <c r="AA19" s="4">
        <v>0</v>
      </c>
      <c r="AB19" s="4"/>
      <c r="AC19" s="4">
        <v>726</v>
      </c>
      <c r="AD19" s="4">
        <v>740</v>
      </c>
      <c r="AE19" s="4"/>
      <c r="AF19" s="4"/>
      <c r="AG19" s="8">
        <v>300</v>
      </c>
    </row>
    <row r="20" spans="1:33" s="1" customFormat="1" x14ac:dyDescent="0.4">
      <c r="A20" s="3">
        <v>17</v>
      </c>
      <c r="B20" s="3"/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>
        <v>0</v>
      </c>
      <c r="J20" s="3">
        <v>0</v>
      </c>
      <c r="K20" s="3"/>
      <c r="L20" s="3">
        <v>0</v>
      </c>
      <c r="M20" s="3">
        <v>0</v>
      </c>
      <c r="N20" s="3"/>
      <c r="O20" s="3"/>
      <c r="P20" s="3">
        <v>0</v>
      </c>
      <c r="Q20" s="3"/>
      <c r="R20" s="3">
        <v>17</v>
      </c>
      <c r="S20" s="3"/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/>
      <c r="Z20" s="3">
        <v>0</v>
      </c>
      <c r="AA20" s="3">
        <v>0</v>
      </c>
      <c r="AB20" s="3"/>
      <c r="AC20" s="3">
        <v>0</v>
      </c>
      <c r="AD20" s="3">
        <v>0</v>
      </c>
      <c r="AE20" s="3"/>
      <c r="AF20" s="3"/>
      <c r="AG20" s="7">
        <v>0</v>
      </c>
    </row>
    <row r="21" spans="1:33" s="2" customFormat="1" x14ac:dyDescent="0.4">
      <c r="A21" s="4">
        <v>18</v>
      </c>
      <c r="B21" s="4"/>
      <c r="C21" s="4">
        <v>157</v>
      </c>
      <c r="D21" s="4">
        <v>0</v>
      </c>
      <c r="E21" s="4">
        <v>620</v>
      </c>
      <c r="F21" s="4">
        <v>620</v>
      </c>
      <c r="G21" s="4">
        <v>712</v>
      </c>
      <c r="H21" s="4"/>
      <c r="I21" s="4">
        <v>0</v>
      </c>
      <c r="J21" s="4">
        <v>620</v>
      </c>
      <c r="K21" s="4"/>
      <c r="L21" s="4">
        <v>712</v>
      </c>
      <c r="M21" s="4">
        <v>620</v>
      </c>
      <c r="N21" s="4"/>
      <c r="O21" s="4"/>
      <c r="P21" s="4">
        <v>98</v>
      </c>
      <c r="Q21" s="4"/>
      <c r="R21" s="4">
        <v>18</v>
      </c>
      <c r="S21" s="4"/>
      <c r="T21" s="4">
        <v>155</v>
      </c>
      <c r="U21" s="4">
        <v>155</v>
      </c>
      <c r="V21" s="4">
        <v>620</v>
      </c>
      <c r="W21" s="4">
        <v>0</v>
      </c>
      <c r="X21" s="4">
        <v>712</v>
      </c>
      <c r="Y21" s="4"/>
      <c r="Z21" s="4">
        <v>92</v>
      </c>
      <c r="AA21" s="4">
        <v>620</v>
      </c>
      <c r="AB21" s="4"/>
      <c r="AC21" s="4">
        <v>0</v>
      </c>
      <c r="AD21" s="4">
        <v>620</v>
      </c>
      <c r="AE21" s="4"/>
      <c r="AF21" s="4"/>
      <c r="AG21" s="8">
        <v>0</v>
      </c>
    </row>
    <row r="22" spans="1:33" s="1" customFormat="1" x14ac:dyDescent="0.4">
      <c r="A22" s="3">
        <v>19</v>
      </c>
      <c r="B22" s="3"/>
      <c r="C22" s="3">
        <v>239</v>
      </c>
      <c r="D22" s="3">
        <v>0</v>
      </c>
      <c r="E22" s="3">
        <v>242</v>
      </c>
      <c r="F22" s="3">
        <v>164</v>
      </c>
      <c r="G22" s="3">
        <v>208</v>
      </c>
      <c r="H22" s="3"/>
      <c r="I22" s="3">
        <v>244</v>
      </c>
      <c r="J22" s="3">
        <v>244</v>
      </c>
      <c r="K22" s="3"/>
      <c r="L22" s="3">
        <v>242</v>
      </c>
      <c r="M22" s="3">
        <v>244</v>
      </c>
      <c r="N22" s="3"/>
      <c r="O22" s="3"/>
      <c r="P22" s="3">
        <v>241</v>
      </c>
      <c r="Q22" s="3"/>
      <c r="R22" s="3">
        <v>19</v>
      </c>
      <c r="S22" s="3"/>
      <c r="T22" s="3">
        <v>215</v>
      </c>
      <c r="U22" s="3">
        <v>215</v>
      </c>
      <c r="V22" s="3">
        <v>242</v>
      </c>
      <c r="W22" s="3">
        <v>0</v>
      </c>
      <c r="X22" s="3">
        <v>208</v>
      </c>
      <c r="Y22" s="3"/>
      <c r="Z22" s="3">
        <v>100</v>
      </c>
      <c r="AA22" s="3">
        <v>244</v>
      </c>
      <c r="AB22" s="3"/>
      <c r="AC22" s="3">
        <v>242</v>
      </c>
      <c r="AD22" s="3">
        <v>244</v>
      </c>
      <c r="AE22" s="3"/>
      <c r="AF22" s="3"/>
      <c r="AG22" s="7">
        <v>241</v>
      </c>
    </row>
    <row r="23" spans="1:33" s="2" customFormat="1" x14ac:dyDescent="0.4">
      <c r="A23" s="4">
        <v>20</v>
      </c>
      <c r="B23" s="4"/>
      <c r="C23" s="4">
        <v>179</v>
      </c>
      <c r="D23" s="4">
        <v>540</v>
      </c>
      <c r="E23" s="4">
        <v>196</v>
      </c>
      <c r="F23" s="4">
        <v>80</v>
      </c>
      <c r="G23" s="4">
        <v>196</v>
      </c>
      <c r="H23" s="4"/>
      <c r="I23" s="4">
        <v>230</v>
      </c>
      <c r="J23" s="4">
        <v>194</v>
      </c>
      <c r="K23" s="4"/>
      <c r="L23" s="4">
        <v>92</v>
      </c>
      <c r="M23" s="4">
        <v>192</v>
      </c>
      <c r="N23" s="4"/>
      <c r="O23" s="4"/>
      <c r="P23" s="4">
        <v>225</v>
      </c>
      <c r="Q23" s="4"/>
      <c r="R23" s="4">
        <v>20</v>
      </c>
      <c r="S23" s="4"/>
      <c r="T23" s="4">
        <v>113</v>
      </c>
      <c r="U23" s="4">
        <v>183</v>
      </c>
      <c r="V23" s="4">
        <v>196</v>
      </c>
      <c r="W23" s="4">
        <v>80</v>
      </c>
      <c r="X23" s="4">
        <v>196</v>
      </c>
      <c r="Y23" s="4"/>
      <c r="Z23" s="4">
        <v>132</v>
      </c>
      <c r="AA23" s="4">
        <v>192</v>
      </c>
      <c r="AB23" s="4"/>
      <c r="AC23" s="4">
        <v>92</v>
      </c>
      <c r="AD23" s="4">
        <v>194</v>
      </c>
      <c r="AE23" s="4"/>
      <c r="AF23" s="4"/>
      <c r="AG23" s="8">
        <v>225</v>
      </c>
    </row>
    <row r="24" spans="1:33" s="1" customFormat="1" x14ac:dyDescent="0.4">
      <c r="A24" s="3">
        <v>21</v>
      </c>
      <c r="B24" s="3"/>
      <c r="C24" s="3">
        <v>179</v>
      </c>
      <c r="D24" s="3">
        <v>300</v>
      </c>
      <c r="E24" s="3">
        <v>196</v>
      </c>
      <c r="F24" s="3">
        <v>80</v>
      </c>
      <c r="G24" s="3">
        <v>196</v>
      </c>
      <c r="H24" s="3"/>
      <c r="I24" s="3">
        <v>230</v>
      </c>
      <c r="J24" s="3">
        <v>192</v>
      </c>
      <c r="K24" s="3"/>
      <c r="L24" s="3">
        <v>0</v>
      </c>
      <c r="M24" s="3">
        <v>194</v>
      </c>
      <c r="N24" s="3"/>
      <c r="O24" s="3"/>
      <c r="P24" s="3">
        <v>225</v>
      </c>
      <c r="Q24" s="3"/>
      <c r="R24" s="3">
        <v>21</v>
      </c>
      <c r="S24" s="3"/>
      <c r="T24" s="3">
        <v>179</v>
      </c>
      <c r="U24" s="3">
        <v>183</v>
      </c>
      <c r="V24" s="3">
        <v>196</v>
      </c>
      <c r="W24" s="3">
        <v>80</v>
      </c>
      <c r="X24" s="3">
        <v>196</v>
      </c>
      <c r="Y24" s="3"/>
      <c r="Z24" s="3">
        <v>132</v>
      </c>
      <c r="AA24" s="3">
        <v>192</v>
      </c>
      <c r="AB24" s="3"/>
      <c r="AC24" s="3">
        <v>92</v>
      </c>
      <c r="AD24" s="3">
        <v>192</v>
      </c>
      <c r="AE24" s="3"/>
      <c r="AF24" s="3"/>
      <c r="AG24" s="7">
        <v>225</v>
      </c>
    </row>
    <row r="25" spans="1:33" s="2" customFormat="1" x14ac:dyDescent="0.4">
      <c r="A25" s="4">
        <v>22</v>
      </c>
      <c r="B25" s="4"/>
      <c r="C25" s="4">
        <v>155</v>
      </c>
      <c r="D25" s="4">
        <v>0</v>
      </c>
      <c r="E25" s="4">
        <v>620</v>
      </c>
      <c r="F25" s="4">
        <v>620</v>
      </c>
      <c r="G25" s="4">
        <v>712</v>
      </c>
      <c r="H25" s="4"/>
      <c r="I25" s="4">
        <v>0</v>
      </c>
      <c r="J25" s="4">
        <v>620</v>
      </c>
      <c r="K25" s="4"/>
      <c r="L25" s="4">
        <v>712</v>
      </c>
      <c r="M25" s="4">
        <v>620</v>
      </c>
      <c r="N25" s="4"/>
      <c r="O25" s="4"/>
      <c r="P25" s="4">
        <v>98</v>
      </c>
      <c r="Q25" s="4"/>
      <c r="R25" s="4">
        <v>22</v>
      </c>
      <c r="S25" s="4"/>
      <c r="T25" s="4">
        <v>155</v>
      </c>
      <c r="U25" s="4">
        <v>157</v>
      </c>
      <c r="V25" s="4">
        <v>620</v>
      </c>
      <c r="W25" s="4">
        <v>0</v>
      </c>
      <c r="X25" s="4">
        <v>712</v>
      </c>
      <c r="Y25" s="4"/>
      <c r="Z25" s="4">
        <v>92</v>
      </c>
      <c r="AA25" s="4">
        <v>620</v>
      </c>
      <c r="AB25" s="4"/>
      <c r="AC25" s="4">
        <v>0</v>
      </c>
      <c r="AD25" s="4">
        <v>620</v>
      </c>
      <c r="AE25" s="4"/>
      <c r="AF25" s="4"/>
      <c r="AG25" s="8">
        <v>98</v>
      </c>
    </row>
    <row r="26" spans="1:33" s="1" customFormat="1" x14ac:dyDescent="0.4">
      <c r="A26" s="3">
        <v>23</v>
      </c>
      <c r="B26" s="3"/>
      <c r="C26" s="3">
        <v>483</v>
      </c>
      <c r="D26" s="3">
        <v>0</v>
      </c>
      <c r="E26" s="3">
        <v>594</v>
      </c>
      <c r="F26" s="3">
        <v>520</v>
      </c>
      <c r="G26" s="3">
        <v>480</v>
      </c>
      <c r="H26" s="3"/>
      <c r="I26" s="3">
        <v>614</v>
      </c>
      <c r="J26" s="3">
        <v>374</v>
      </c>
      <c r="K26" s="3"/>
      <c r="L26" s="3">
        <v>648</v>
      </c>
      <c r="M26" s="3">
        <v>514</v>
      </c>
      <c r="N26" s="3"/>
      <c r="O26" s="3"/>
      <c r="P26" s="3">
        <v>494</v>
      </c>
      <c r="Q26" s="3"/>
      <c r="R26" s="3">
        <v>23</v>
      </c>
      <c r="S26" s="3"/>
      <c r="T26" s="3">
        <v>483</v>
      </c>
      <c r="U26" s="3">
        <v>480</v>
      </c>
      <c r="V26" s="3">
        <v>592</v>
      </c>
      <c r="W26" s="3">
        <v>520</v>
      </c>
      <c r="X26" s="3">
        <v>0</v>
      </c>
      <c r="Y26" s="3"/>
      <c r="Z26" s="3">
        <v>628</v>
      </c>
      <c r="AA26" s="3">
        <v>374</v>
      </c>
      <c r="AB26" s="3"/>
      <c r="AC26" s="3">
        <v>648</v>
      </c>
      <c r="AD26" s="3">
        <v>514</v>
      </c>
      <c r="AE26" s="3"/>
      <c r="AF26" s="3"/>
      <c r="AG26" s="7">
        <v>664</v>
      </c>
    </row>
    <row r="27" spans="1:33" s="2" customFormat="1" x14ac:dyDescent="0.4">
      <c r="A27" s="4">
        <v>24</v>
      </c>
      <c r="B27" s="4"/>
      <c r="C27" s="4">
        <v>607</v>
      </c>
      <c r="D27" s="4">
        <v>0</v>
      </c>
      <c r="E27" s="4">
        <v>304</v>
      </c>
      <c r="F27" s="4">
        <v>732</v>
      </c>
      <c r="G27" s="4">
        <v>300</v>
      </c>
      <c r="H27" s="4"/>
      <c r="I27" s="4">
        <v>218</v>
      </c>
      <c r="J27" s="4">
        <v>348</v>
      </c>
      <c r="K27" s="4"/>
      <c r="L27" s="4">
        <v>726</v>
      </c>
      <c r="M27" s="4">
        <v>740</v>
      </c>
      <c r="N27" s="4"/>
      <c r="O27" s="4"/>
      <c r="P27" s="4">
        <v>568</v>
      </c>
      <c r="Q27" s="4"/>
      <c r="R27" s="4">
        <v>24</v>
      </c>
      <c r="S27" s="4"/>
      <c r="T27" s="4">
        <v>607</v>
      </c>
      <c r="U27" s="4">
        <v>604</v>
      </c>
      <c r="V27" s="4">
        <v>0</v>
      </c>
      <c r="W27" s="4">
        <v>732</v>
      </c>
      <c r="X27" s="4">
        <v>300</v>
      </c>
      <c r="Y27" s="4"/>
      <c r="Z27" s="4">
        <v>372</v>
      </c>
      <c r="AA27" s="4">
        <v>348</v>
      </c>
      <c r="AB27" s="4"/>
      <c r="AC27" s="4">
        <v>726</v>
      </c>
      <c r="AD27" s="4">
        <v>740</v>
      </c>
      <c r="AE27" s="4"/>
      <c r="AF27" s="4"/>
      <c r="AG27" s="8">
        <v>300</v>
      </c>
    </row>
    <row r="28" spans="1:33" s="1" customFormat="1" x14ac:dyDescent="0.4">
      <c r="A28" s="3">
        <v>25</v>
      </c>
      <c r="B28" s="3"/>
      <c r="C28" s="3">
        <v>452</v>
      </c>
      <c r="D28" s="3">
        <v>0</v>
      </c>
      <c r="E28" s="3">
        <v>160</v>
      </c>
      <c r="F28" s="3">
        <v>336</v>
      </c>
      <c r="G28" s="3">
        <v>120</v>
      </c>
      <c r="H28" s="3"/>
      <c r="I28" s="3">
        <v>-126</v>
      </c>
      <c r="J28" s="3">
        <v>-32</v>
      </c>
      <c r="K28" s="3"/>
      <c r="L28" s="3">
        <v>458</v>
      </c>
      <c r="M28" s="3">
        <v>458</v>
      </c>
      <c r="N28" s="3"/>
      <c r="O28" s="3"/>
      <c r="P28" s="3">
        <v>129</v>
      </c>
      <c r="Q28" s="3"/>
      <c r="R28" s="3">
        <v>25</v>
      </c>
      <c r="S28" s="3"/>
      <c r="T28" s="3">
        <v>452</v>
      </c>
      <c r="U28" s="3">
        <v>452</v>
      </c>
      <c r="V28" s="3">
        <v>0</v>
      </c>
      <c r="W28" s="3">
        <v>312</v>
      </c>
      <c r="X28" s="3">
        <v>120</v>
      </c>
      <c r="Y28" s="3"/>
      <c r="Z28" s="3">
        <v>100</v>
      </c>
      <c r="AA28" s="3">
        <v>-26</v>
      </c>
      <c r="AB28" s="3"/>
      <c r="AC28" s="3">
        <v>0</v>
      </c>
      <c r="AD28" s="3">
        <v>450</v>
      </c>
      <c r="AE28" s="3"/>
      <c r="AF28" s="3"/>
      <c r="AG28" s="7">
        <v>0</v>
      </c>
    </row>
    <row r="29" spans="1:33" s="2" customFormat="1" x14ac:dyDescent="0.4">
      <c r="A29" s="4">
        <v>26</v>
      </c>
      <c r="B29" s="4"/>
      <c r="C29" s="4">
        <v>483</v>
      </c>
      <c r="D29" s="4">
        <v>540</v>
      </c>
      <c r="E29" s="4">
        <v>594</v>
      </c>
      <c r="F29" s="4">
        <v>520</v>
      </c>
      <c r="G29" s="4">
        <v>480</v>
      </c>
      <c r="H29" s="4"/>
      <c r="I29" s="4">
        <v>614</v>
      </c>
      <c r="J29" s="4">
        <v>374</v>
      </c>
      <c r="K29" s="4"/>
      <c r="L29" s="4">
        <v>648</v>
      </c>
      <c r="M29" s="4">
        <v>514</v>
      </c>
      <c r="N29" s="4"/>
      <c r="O29" s="4"/>
      <c r="P29" s="4">
        <v>494</v>
      </c>
      <c r="Q29" s="4"/>
      <c r="R29" s="4">
        <v>26</v>
      </c>
      <c r="S29" s="4"/>
      <c r="T29" s="4">
        <v>0</v>
      </c>
      <c r="U29" s="4">
        <v>480</v>
      </c>
      <c r="V29" s="4">
        <v>592</v>
      </c>
      <c r="W29" s="4">
        <v>520</v>
      </c>
      <c r="X29" s="4">
        <v>478</v>
      </c>
      <c r="Y29" s="4"/>
      <c r="Z29" s="4">
        <v>628</v>
      </c>
      <c r="AA29" s="4">
        <v>374</v>
      </c>
      <c r="AB29" s="4"/>
      <c r="AC29" s="4">
        <v>648</v>
      </c>
      <c r="AD29" s="4">
        <v>514</v>
      </c>
      <c r="AE29" s="4"/>
      <c r="AF29" s="4"/>
      <c r="AG29" s="8">
        <v>664</v>
      </c>
    </row>
    <row r="30" spans="1:33" s="1" customFormat="1" x14ac:dyDescent="0.4">
      <c r="A30" s="3">
        <v>27</v>
      </c>
      <c r="B30" s="3"/>
      <c r="C30" s="3">
        <v>196</v>
      </c>
      <c r="D30" s="3">
        <v>0</v>
      </c>
      <c r="E30" s="3">
        <v>22</v>
      </c>
      <c r="F30" s="3">
        <v>510</v>
      </c>
      <c r="G30" s="3">
        <v>-6</v>
      </c>
      <c r="H30" s="3"/>
      <c r="I30" s="3">
        <v>0</v>
      </c>
      <c r="J30" s="3">
        <v>116</v>
      </c>
      <c r="K30" s="3"/>
      <c r="L30" s="3">
        <v>202</v>
      </c>
      <c r="M30" s="3">
        <v>196</v>
      </c>
      <c r="N30" s="3"/>
      <c r="O30" s="3"/>
      <c r="P30" s="3">
        <v>106</v>
      </c>
      <c r="Q30" s="3"/>
      <c r="R30" s="3">
        <v>27</v>
      </c>
      <c r="S30" s="3"/>
      <c r="T30" s="3">
        <v>196</v>
      </c>
      <c r="U30" s="3">
        <v>196</v>
      </c>
      <c r="V30" s="3">
        <v>272</v>
      </c>
      <c r="W30" s="3">
        <v>510</v>
      </c>
      <c r="X30" s="3">
        <v>-6</v>
      </c>
      <c r="Y30" s="3"/>
      <c r="Z30" s="3">
        <v>128</v>
      </c>
      <c r="AA30" s="3">
        <v>116</v>
      </c>
      <c r="AB30" s="3"/>
      <c r="AC30" s="3">
        <v>202</v>
      </c>
      <c r="AD30" s="3">
        <v>196</v>
      </c>
      <c r="AE30" s="3"/>
      <c r="AF30" s="3"/>
      <c r="AG30" s="7">
        <v>108</v>
      </c>
    </row>
    <row r="31" spans="1:33" s="2" customFormat="1" x14ac:dyDescent="0.4">
      <c r="A31" s="4">
        <v>28</v>
      </c>
      <c r="B31" s="4"/>
      <c r="C31" s="4">
        <v>-4</v>
      </c>
      <c r="D31" s="4">
        <v>0</v>
      </c>
      <c r="E31" s="4">
        <v>-4</v>
      </c>
      <c r="F31" s="4">
        <v>-4</v>
      </c>
      <c r="G31" s="4">
        <v>0</v>
      </c>
      <c r="H31" s="4"/>
      <c r="I31" s="4">
        <v>0</v>
      </c>
      <c r="J31" s="4">
        <v>-4</v>
      </c>
      <c r="K31" s="4"/>
      <c r="L31" s="4">
        <v>-4</v>
      </c>
      <c r="M31" s="4">
        <v>-4</v>
      </c>
      <c r="N31" s="4"/>
      <c r="O31" s="4"/>
      <c r="P31" s="4">
        <v>98</v>
      </c>
      <c r="Q31" s="4"/>
      <c r="R31" s="4">
        <v>28</v>
      </c>
      <c r="S31" s="4"/>
      <c r="T31" s="4">
        <v>580</v>
      </c>
      <c r="U31" s="4">
        <v>580</v>
      </c>
      <c r="V31" s="4">
        <v>220</v>
      </c>
      <c r="W31" s="4">
        <v>888</v>
      </c>
      <c r="X31" s="4">
        <v>0</v>
      </c>
      <c r="Y31" s="4"/>
      <c r="Z31" s="4">
        <v>100</v>
      </c>
      <c r="AA31" s="4">
        <v>-118</v>
      </c>
      <c r="AB31" s="4"/>
      <c r="AC31" s="4">
        <v>888</v>
      </c>
      <c r="AD31" s="4">
        <v>876</v>
      </c>
      <c r="AE31" s="4"/>
      <c r="AF31" s="4"/>
      <c r="AG31" s="8">
        <v>98</v>
      </c>
    </row>
    <row r="32" spans="1:33" s="1" customFormat="1" x14ac:dyDescent="0.4">
      <c r="A32" s="3">
        <v>29</v>
      </c>
      <c r="B32" s="3"/>
      <c r="C32" s="3">
        <v>284</v>
      </c>
      <c r="D32" s="3">
        <v>0</v>
      </c>
      <c r="E32" s="3">
        <v>1634</v>
      </c>
      <c r="F32" s="3">
        <v>296</v>
      </c>
      <c r="G32" s="3">
        <v>320</v>
      </c>
      <c r="H32" s="3"/>
      <c r="I32" s="3">
        <v>0</v>
      </c>
      <c r="J32" s="3">
        <v>62</v>
      </c>
      <c r="K32" s="3"/>
      <c r="L32" s="3">
        <v>308</v>
      </c>
      <c r="M32" s="3">
        <v>302</v>
      </c>
      <c r="N32" s="3"/>
      <c r="O32" s="3"/>
      <c r="P32" s="3">
        <v>1232</v>
      </c>
      <c r="Q32" s="3"/>
      <c r="R32" s="3">
        <v>29</v>
      </c>
      <c r="S32" s="3"/>
      <c r="T32" s="3">
        <v>0</v>
      </c>
      <c r="U32" s="3">
        <v>296</v>
      </c>
      <c r="V32" s="3">
        <v>1632</v>
      </c>
      <c r="W32" s="3">
        <v>298</v>
      </c>
      <c r="X32" s="3">
        <v>320</v>
      </c>
      <c r="Y32" s="3"/>
      <c r="Z32" s="3">
        <v>100</v>
      </c>
      <c r="AA32" s="3">
        <v>62</v>
      </c>
      <c r="AB32" s="3"/>
      <c r="AC32" s="3">
        <v>310</v>
      </c>
      <c r="AD32" s="3">
        <v>302</v>
      </c>
      <c r="AE32" s="3"/>
      <c r="AF32" s="3"/>
      <c r="AG32" s="7">
        <v>1230</v>
      </c>
    </row>
    <row r="33" spans="1:33" s="2" customFormat="1" x14ac:dyDescent="0.4">
      <c r="A33" s="4">
        <v>30</v>
      </c>
      <c r="B33" s="4"/>
      <c r="C33" s="4">
        <v>262</v>
      </c>
      <c r="D33" s="4">
        <v>0</v>
      </c>
      <c r="E33" s="4">
        <v>240</v>
      </c>
      <c r="F33" s="4">
        <v>410</v>
      </c>
      <c r="G33" s="4">
        <v>272</v>
      </c>
      <c r="H33" s="4"/>
      <c r="I33" s="4">
        <v>0</v>
      </c>
      <c r="J33" s="4">
        <v>-4</v>
      </c>
      <c r="K33" s="4"/>
      <c r="L33" s="4">
        <v>478</v>
      </c>
      <c r="M33" s="4">
        <v>478</v>
      </c>
      <c r="N33" s="4"/>
      <c r="O33" s="4"/>
      <c r="P33" s="4">
        <v>98</v>
      </c>
      <c r="Q33" s="4"/>
      <c r="R33" s="4">
        <v>30</v>
      </c>
      <c r="S33" s="4"/>
      <c r="T33" s="4">
        <v>194</v>
      </c>
      <c r="U33" s="4">
        <v>194</v>
      </c>
      <c r="V33" s="4">
        <v>272</v>
      </c>
      <c r="W33" s="4">
        <v>138</v>
      </c>
      <c r="X33" s="4">
        <v>0</v>
      </c>
      <c r="Y33" s="4"/>
      <c r="Z33" s="4">
        <v>100</v>
      </c>
      <c r="AA33" s="4">
        <v>44</v>
      </c>
      <c r="AB33" s="4"/>
      <c r="AC33" s="4">
        <v>206</v>
      </c>
      <c r="AD33" s="4">
        <v>306</v>
      </c>
      <c r="AE33" s="4"/>
      <c r="AF33" s="4"/>
      <c r="AG33" s="8">
        <v>98</v>
      </c>
    </row>
    <row r="34" spans="1:33" s="1" customFormat="1" x14ac:dyDescent="0.4">
      <c r="A34" s="3">
        <v>31</v>
      </c>
      <c r="B34" s="3"/>
      <c r="C34" s="3">
        <v>393</v>
      </c>
      <c r="D34" s="3">
        <v>0</v>
      </c>
      <c r="E34" s="3">
        <v>154</v>
      </c>
      <c r="F34" s="3">
        <v>410</v>
      </c>
      <c r="G34" s="3">
        <v>0</v>
      </c>
      <c r="H34" s="3"/>
      <c r="I34" s="3">
        <v>130</v>
      </c>
      <c r="J34" s="3">
        <v>-38</v>
      </c>
      <c r="K34" s="3"/>
      <c r="L34" s="3">
        <v>456</v>
      </c>
      <c r="M34" s="3">
        <v>452</v>
      </c>
      <c r="N34" s="3"/>
      <c r="O34" s="3"/>
      <c r="P34" s="3">
        <v>180</v>
      </c>
      <c r="Q34" s="3"/>
      <c r="R34" s="3">
        <v>31</v>
      </c>
      <c r="S34" s="3"/>
      <c r="T34" s="3">
        <v>393</v>
      </c>
      <c r="U34" s="3">
        <v>393</v>
      </c>
      <c r="V34" s="3">
        <v>168</v>
      </c>
      <c r="W34" s="3">
        <v>404</v>
      </c>
      <c r="X34" s="3">
        <v>114</v>
      </c>
      <c r="Y34" s="3"/>
      <c r="Z34" s="3">
        <v>128</v>
      </c>
      <c r="AA34" s="3">
        <v>-38</v>
      </c>
      <c r="AB34" s="3"/>
      <c r="AC34" s="3">
        <v>450</v>
      </c>
      <c r="AD34" s="3">
        <v>452</v>
      </c>
      <c r="AE34" s="3"/>
      <c r="AF34" s="3"/>
      <c r="AG34" s="7">
        <v>212</v>
      </c>
    </row>
    <row r="35" spans="1:33" s="2" customFormat="1" x14ac:dyDescent="0.4">
      <c r="A35" s="4">
        <v>32</v>
      </c>
      <c r="B35" s="4"/>
      <c r="C35" s="4">
        <v>153</v>
      </c>
      <c r="D35" s="4">
        <v>0</v>
      </c>
      <c r="E35" s="4">
        <v>148</v>
      </c>
      <c r="F35" s="4">
        <v>164</v>
      </c>
      <c r="G35" s="4">
        <v>136</v>
      </c>
      <c r="H35" s="4"/>
      <c r="I35" s="4">
        <v>98</v>
      </c>
      <c r="J35" s="4">
        <v>168</v>
      </c>
      <c r="K35" s="4"/>
      <c r="L35" s="4">
        <v>40</v>
      </c>
      <c r="M35" s="4">
        <v>168</v>
      </c>
      <c r="N35" s="4"/>
      <c r="O35" s="4"/>
      <c r="P35" s="4">
        <v>172</v>
      </c>
      <c r="Q35" s="4"/>
      <c r="R35" s="4">
        <v>32</v>
      </c>
      <c r="S35" s="4"/>
      <c r="T35" s="4">
        <v>151</v>
      </c>
      <c r="U35" s="4">
        <v>150</v>
      </c>
      <c r="V35" s="4">
        <v>148</v>
      </c>
      <c r="W35" s="4">
        <v>40</v>
      </c>
      <c r="X35" s="4">
        <v>136</v>
      </c>
      <c r="Y35" s="4"/>
      <c r="Z35" s="4">
        <v>140</v>
      </c>
      <c r="AA35" s="4">
        <v>168</v>
      </c>
      <c r="AB35" s="4"/>
      <c r="AC35" s="4">
        <v>40</v>
      </c>
      <c r="AD35" s="4">
        <v>168</v>
      </c>
      <c r="AE35" s="4"/>
      <c r="AF35" s="4"/>
      <c r="AG35" s="8">
        <v>172</v>
      </c>
    </row>
    <row r="36" spans="1:33" s="1" customFormat="1" x14ac:dyDescent="0.4">
      <c r="A36" s="3">
        <v>33</v>
      </c>
      <c r="B36" s="3"/>
      <c r="C36" s="3">
        <v>325</v>
      </c>
      <c r="D36" s="3">
        <v>0</v>
      </c>
      <c r="E36" s="3">
        <v>314</v>
      </c>
      <c r="F36" s="3">
        <v>346</v>
      </c>
      <c r="G36" s="3">
        <v>262</v>
      </c>
      <c r="H36" s="3"/>
      <c r="I36" s="3">
        <v>226</v>
      </c>
      <c r="J36" s="3">
        <v>340</v>
      </c>
      <c r="K36" s="3"/>
      <c r="L36" s="3">
        <v>322</v>
      </c>
      <c r="M36" s="3">
        <v>340</v>
      </c>
      <c r="N36" s="3"/>
      <c r="O36" s="3"/>
      <c r="P36" s="3">
        <v>242</v>
      </c>
      <c r="Q36" s="3"/>
      <c r="R36" s="3">
        <v>33</v>
      </c>
      <c r="S36" s="3"/>
      <c r="T36" s="3">
        <v>308</v>
      </c>
      <c r="U36" s="3">
        <v>308</v>
      </c>
      <c r="V36" s="3">
        <v>200</v>
      </c>
      <c r="W36" s="3">
        <v>346</v>
      </c>
      <c r="X36" s="3">
        <v>262</v>
      </c>
      <c r="Y36" s="3"/>
      <c r="Z36" s="3">
        <v>92</v>
      </c>
      <c r="AA36" s="3">
        <v>340</v>
      </c>
      <c r="AB36" s="3"/>
      <c r="AC36" s="3">
        <v>322</v>
      </c>
      <c r="AD36" s="3">
        <v>340</v>
      </c>
      <c r="AE36" s="3"/>
      <c r="AF36" s="3"/>
      <c r="AG36" s="7">
        <v>0</v>
      </c>
    </row>
    <row r="37" spans="1:33" s="2" customFormat="1" x14ac:dyDescent="0.4">
      <c r="A37" s="4">
        <v>34</v>
      </c>
      <c r="B37" s="4"/>
      <c r="C37" s="4">
        <v>484</v>
      </c>
      <c r="D37" s="4">
        <v>40</v>
      </c>
      <c r="E37" s="4">
        <v>452</v>
      </c>
      <c r="F37" s="4">
        <v>452</v>
      </c>
      <c r="G37" s="4">
        <v>444</v>
      </c>
      <c r="H37" s="4"/>
      <c r="I37" s="4">
        <v>444</v>
      </c>
      <c r="J37" s="4">
        <v>452</v>
      </c>
      <c r="K37" s="4"/>
      <c r="L37" s="4">
        <v>452</v>
      </c>
      <c r="M37" s="4">
        <v>452</v>
      </c>
      <c r="N37" s="4"/>
      <c r="O37" s="4"/>
      <c r="P37" s="4">
        <v>449</v>
      </c>
      <c r="Q37" s="4"/>
      <c r="R37" s="4">
        <v>34</v>
      </c>
      <c r="S37" s="4"/>
      <c r="T37" s="4">
        <v>452</v>
      </c>
      <c r="U37" s="4">
        <v>84</v>
      </c>
      <c r="V37" s="4">
        <v>444</v>
      </c>
      <c r="W37" s="4">
        <v>452</v>
      </c>
      <c r="X37" s="4">
        <v>444</v>
      </c>
      <c r="Y37" s="4"/>
      <c r="Z37" s="4">
        <v>96</v>
      </c>
      <c r="AA37" s="4">
        <v>452</v>
      </c>
      <c r="AB37" s="4"/>
      <c r="AC37" s="4">
        <v>450</v>
      </c>
      <c r="AD37" s="4">
        <v>452</v>
      </c>
      <c r="AE37" s="4"/>
      <c r="AF37" s="4"/>
      <c r="AG37" s="8">
        <v>98</v>
      </c>
    </row>
    <row r="38" spans="1:33" s="1" customFormat="1" x14ac:dyDescent="0.4">
      <c r="A38" s="3">
        <v>35</v>
      </c>
      <c r="B38" s="3"/>
      <c r="C38" s="3">
        <v>244</v>
      </c>
      <c r="D38" s="3">
        <v>160</v>
      </c>
      <c r="E38" s="3">
        <v>244</v>
      </c>
      <c r="F38" s="3">
        <v>272</v>
      </c>
      <c r="G38" s="3">
        <v>160</v>
      </c>
      <c r="H38" s="3"/>
      <c r="I38" s="3">
        <v>190</v>
      </c>
      <c r="J38" s="3">
        <v>272</v>
      </c>
      <c r="K38" s="3"/>
      <c r="L38" s="3">
        <v>272</v>
      </c>
      <c r="M38" s="3">
        <v>272</v>
      </c>
      <c r="N38" s="3"/>
      <c r="O38" s="3"/>
      <c r="P38" s="3">
        <v>160</v>
      </c>
      <c r="Q38" s="3"/>
      <c r="R38" s="3">
        <v>35</v>
      </c>
      <c r="S38" s="3"/>
      <c r="T38" s="3">
        <v>184</v>
      </c>
      <c r="U38" s="3">
        <v>184</v>
      </c>
      <c r="V38" s="3">
        <v>254</v>
      </c>
      <c r="W38" s="3">
        <v>232</v>
      </c>
      <c r="X38" s="3">
        <v>160</v>
      </c>
      <c r="Y38" s="3"/>
      <c r="Z38" s="3">
        <v>248</v>
      </c>
      <c r="AA38" s="3">
        <v>282</v>
      </c>
      <c r="AB38" s="3"/>
      <c r="AC38" s="3">
        <v>282</v>
      </c>
      <c r="AD38" s="3">
        <v>282</v>
      </c>
      <c r="AE38" s="3"/>
      <c r="AF38" s="3"/>
      <c r="AG38" s="7">
        <v>254</v>
      </c>
    </row>
    <row r="39" spans="1:33" s="2" customFormat="1" x14ac:dyDescent="0.4">
      <c r="A39" s="4">
        <v>36</v>
      </c>
      <c r="B39" s="4"/>
      <c r="C39" s="4">
        <v>86</v>
      </c>
      <c r="D39" s="4">
        <v>0</v>
      </c>
      <c r="E39" s="4">
        <v>0</v>
      </c>
      <c r="F39" s="4">
        <v>0</v>
      </c>
      <c r="G39" s="4">
        <v>98</v>
      </c>
      <c r="H39" s="4"/>
      <c r="I39" s="4">
        <v>100</v>
      </c>
      <c r="J39" s="4">
        <v>226</v>
      </c>
      <c r="K39" s="4"/>
      <c r="L39" s="4">
        <v>0</v>
      </c>
      <c r="M39" s="4">
        <v>226</v>
      </c>
      <c r="N39" s="4"/>
      <c r="O39" s="4"/>
      <c r="P39" s="4">
        <v>0</v>
      </c>
      <c r="Q39" s="4"/>
      <c r="R39" s="4">
        <v>36</v>
      </c>
      <c r="S39" s="4"/>
      <c r="T39" s="4">
        <v>86</v>
      </c>
      <c r="U39" s="4">
        <v>86</v>
      </c>
      <c r="V39" s="4">
        <v>0</v>
      </c>
      <c r="W39" s="4">
        <v>0</v>
      </c>
      <c r="X39" s="4">
        <v>98</v>
      </c>
      <c r="Y39" s="4"/>
      <c r="Z39" s="4">
        <v>100</v>
      </c>
      <c r="AA39" s="4">
        <v>226</v>
      </c>
      <c r="AB39" s="4"/>
      <c r="AC39" s="4">
        <v>0</v>
      </c>
      <c r="AD39" s="4">
        <v>226</v>
      </c>
      <c r="AE39" s="4"/>
      <c r="AF39" s="4"/>
      <c r="AG39" s="8">
        <v>0</v>
      </c>
    </row>
    <row r="40" spans="1:33" x14ac:dyDescent="0.4">
      <c r="A40" s="5"/>
      <c r="B40" s="5"/>
      <c r="C40" s="6">
        <f>SUM(C4:C39)</f>
        <v>9560</v>
      </c>
      <c r="D40" s="6">
        <f>SUM(D4:D39)</f>
        <v>5057</v>
      </c>
      <c r="E40" s="6">
        <f>SUM(E4:E39)</f>
        <v>13340</v>
      </c>
      <c r="F40" s="6">
        <f>SUM(F4:F39)</f>
        <v>14886</v>
      </c>
      <c r="G40" s="6">
        <f>SUM(G4:G39)</f>
        <v>10552</v>
      </c>
      <c r="H40" s="5"/>
      <c r="I40" s="6">
        <f>SUM(I4:I39)</f>
        <v>6840</v>
      </c>
      <c r="J40" s="6">
        <f>SUM(J4:J39)</f>
        <v>10202</v>
      </c>
      <c r="K40" s="5"/>
      <c r="L40" s="6">
        <f>SUM(L4:L39)</f>
        <v>14880</v>
      </c>
      <c r="M40" s="6">
        <f>SUM(M4:M39)</f>
        <v>13588</v>
      </c>
      <c r="N40" s="5"/>
      <c r="O40" s="5"/>
      <c r="P40" s="6">
        <f>SUM(P4:P39)</f>
        <v>12752</v>
      </c>
      <c r="Q40" s="5"/>
      <c r="R40" s="5"/>
      <c r="S40" s="5"/>
      <c r="T40" s="6">
        <f>SUM(T4:T39)</f>
        <v>9174</v>
      </c>
      <c r="U40" s="6">
        <f>SUM(U4:U39)</f>
        <v>8511</v>
      </c>
      <c r="V40" s="6">
        <f>SUM(V4:V39)</f>
        <v>13418</v>
      </c>
      <c r="W40" s="6">
        <f>SUM(W4:W39)</f>
        <v>13178</v>
      </c>
      <c r="X40" s="6">
        <f>SUM(X4:X39)</f>
        <v>9902</v>
      </c>
      <c r="Y40" s="5"/>
      <c r="Z40" s="6">
        <f>SUM(Z4:Z39)</f>
        <v>6832</v>
      </c>
      <c r="AA40" s="6">
        <f>SUM(AA4:AA39)</f>
        <v>9796</v>
      </c>
      <c r="AB40" s="5"/>
      <c r="AC40" s="6">
        <f>SUM(AC4:AC39)</f>
        <v>13000</v>
      </c>
      <c r="AD40" s="6">
        <f>SUM(AD4:AD39)</f>
        <v>14300</v>
      </c>
      <c r="AE40" s="5"/>
      <c r="AF40" s="5"/>
      <c r="AG40" s="6">
        <f>SUM(AG4:AG39)</f>
        <v>10760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F311-3F96-40B0-8B55-6B5BF95F9AED}">
  <dimension ref="A1:AA43"/>
  <sheetViews>
    <sheetView tabSelected="1" zoomScale="85" zoomScaleNormal="85" workbookViewId="0">
      <selection activeCell="L27" sqref="L27"/>
    </sheetView>
  </sheetViews>
  <sheetFormatPr defaultRowHeight="13.9" x14ac:dyDescent="0.4"/>
  <cols>
    <col min="1" max="1" width="10.73046875" customWidth="1"/>
    <col min="14" max="14" width="30.3984375" customWidth="1"/>
  </cols>
  <sheetData>
    <row r="1" spans="1:27" x14ac:dyDescent="0.4">
      <c r="A1" s="3" t="s">
        <v>0</v>
      </c>
      <c r="B1" s="3" t="s">
        <v>3</v>
      </c>
      <c r="C1" s="3" t="s">
        <v>4</v>
      </c>
      <c r="D1" s="3"/>
      <c r="E1" s="3" t="s">
        <v>5</v>
      </c>
      <c r="F1" s="3" t="s">
        <v>3</v>
      </c>
      <c r="G1" s="3" t="s">
        <v>10</v>
      </c>
      <c r="H1" s="3"/>
      <c r="J1" s="3" t="s">
        <v>5</v>
      </c>
      <c r="K1" s="3" t="s">
        <v>3</v>
      </c>
      <c r="L1" s="3" t="s">
        <v>10</v>
      </c>
      <c r="M1" s="10" t="s">
        <v>33</v>
      </c>
      <c r="N1" s="10"/>
      <c r="O1" s="3" t="s">
        <v>0</v>
      </c>
      <c r="P1" s="3" t="s">
        <v>3</v>
      </c>
      <c r="Q1" s="3" t="s">
        <v>4</v>
      </c>
      <c r="R1" s="3" t="s">
        <v>4</v>
      </c>
      <c r="S1" s="3" t="s">
        <v>3</v>
      </c>
      <c r="U1" s="3" t="s">
        <v>3</v>
      </c>
      <c r="V1" s="3" t="s">
        <v>7</v>
      </c>
      <c r="Z1" s="3" t="s">
        <v>11</v>
      </c>
      <c r="AA1" s="3" t="s">
        <v>9</v>
      </c>
    </row>
    <row r="2" spans="1:27" x14ac:dyDescent="0.4">
      <c r="A2" s="4" t="s">
        <v>1</v>
      </c>
      <c r="B2" s="4" t="s">
        <v>12</v>
      </c>
      <c r="C2" s="4" t="s">
        <v>13</v>
      </c>
      <c r="D2" s="4"/>
      <c r="E2" s="4" t="s">
        <v>16</v>
      </c>
      <c r="F2" s="4" t="s">
        <v>22</v>
      </c>
      <c r="G2" s="4" t="s">
        <v>23</v>
      </c>
      <c r="H2" s="4"/>
      <c r="J2" s="4" t="s">
        <v>16</v>
      </c>
      <c r="K2" s="4" t="s">
        <v>22</v>
      </c>
      <c r="L2" s="4" t="s">
        <v>23</v>
      </c>
      <c r="O2" s="4" t="s">
        <v>1</v>
      </c>
      <c r="P2" s="4" t="s">
        <v>12</v>
      </c>
      <c r="Q2" s="4" t="s">
        <v>13</v>
      </c>
      <c r="R2" s="4" t="s">
        <v>14</v>
      </c>
      <c r="S2" s="4" t="s">
        <v>15</v>
      </c>
      <c r="U2" s="4" t="s">
        <v>17</v>
      </c>
      <c r="V2" s="4" t="s">
        <v>19</v>
      </c>
      <c r="Z2" s="4" t="s">
        <v>24</v>
      </c>
      <c r="AA2" s="4" t="s">
        <v>26</v>
      </c>
    </row>
    <row r="3" spans="1:27" x14ac:dyDescent="0.4">
      <c r="A3" s="5" t="s">
        <v>2</v>
      </c>
      <c r="B3" s="5"/>
      <c r="C3" s="5"/>
      <c r="D3" s="5"/>
      <c r="E3" s="5"/>
      <c r="F3" s="5"/>
      <c r="G3" s="5"/>
      <c r="H3" s="5"/>
      <c r="J3" s="5"/>
      <c r="K3" s="5"/>
      <c r="L3" s="5"/>
      <c r="O3" s="5" t="s">
        <v>2</v>
      </c>
      <c r="P3" s="5"/>
      <c r="Q3" s="5"/>
      <c r="R3" s="5"/>
      <c r="S3" s="5"/>
      <c r="U3" s="5"/>
      <c r="V3" s="5"/>
      <c r="Z3" s="5"/>
      <c r="AA3" s="5"/>
    </row>
    <row r="4" spans="1:27" x14ac:dyDescent="0.4">
      <c r="A4" s="3">
        <v>1</v>
      </c>
      <c r="B4" s="3">
        <v>648</v>
      </c>
      <c r="C4" s="3">
        <v>483</v>
      </c>
      <c r="D4" s="3"/>
      <c r="E4" s="3">
        <v>520</v>
      </c>
      <c r="F4" s="3">
        <v>648</v>
      </c>
      <c r="G4" s="3">
        <v>610</v>
      </c>
      <c r="H4" s="3"/>
      <c r="J4" s="3">
        <v>520</v>
      </c>
      <c r="K4" s="3">
        <v>648</v>
      </c>
      <c r="L4" s="3">
        <v>610</v>
      </c>
      <c r="M4" s="10">
        <v>642</v>
      </c>
      <c r="N4" s="10"/>
      <c r="O4" s="3">
        <v>1</v>
      </c>
      <c r="P4" s="3">
        <v>648</v>
      </c>
      <c r="Q4" s="3">
        <v>483</v>
      </c>
      <c r="R4" s="3">
        <v>480</v>
      </c>
      <c r="S4" s="3">
        <v>594</v>
      </c>
      <c r="U4" s="3">
        <v>628</v>
      </c>
      <c r="V4" s="3">
        <v>628</v>
      </c>
      <c r="Z4" s="3"/>
      <c r="AA4" s="3">
        <v>494</v>
      </c>
    </row>
    <row r="5" spans="1:27" x14ac:dyDescent="0.4">
      <c r="A5" s="4">
        <v>2</v>
      </c>
      <c r="B5" s="4">
        <v>648</v>
      </c>
      <c r="C5" s="4">
        <v>483</v>
      </c>
      <c r="D5" s="4"/>
      <c r="E5" s="4">
        <v>520</v>
      </c>
      <c r="F5" s="4">
        <v>648</v>
      </c>
      <c r="G5" s="4">
        <v>610</v>
      </c>
      <c r="H5" s="4"/>
      <c r="J5" s="4">
        <v>520</v>
      </c>
      <c r="K5" s="4">
        <v>648</v>
      </c>
      <c r="L5" s="4">
        <v>610</v>
      </c>
      <c r="M5" s="11">
        <v>642</v>
      </c>
      <c r="N5" s="11"/>
      <c r="O5" s="4">
        <v>2</v>
      </c>
      <c r="P5" s="4">
        <v>648</v>
      </c>
      <c r="Q5" s="4">
        <v>483</v>
      </c>
      <c r="R5" s="4">
        <v>480</v>
      </c>
      <c r="S5" s="4">
        <v>594</v>
      </c>
      <c r="U5" s="4">
        <v>626</v>
      </c>
      <c r="V5" s="4">
        <v>628</v>
      </c>
      <c r="Z5" s="4"/>
      <c r="AA5" s="4">
        <v>494</v>
      </c>
    </row>
    <row r="6" spans="1:27" x14ac:dyDescent="0.4">
      <c r="A6" s="4">
        <v>3</v>
      </c>
      <c r="B6" s="4">
        <v>144</v>
      </c>
      <c r="C6" s="4">
        <v>141</v>
      </c>
      <c r="D6" s="4"/>
      <c r="E6" s="4">
        <v>152</v>
      </c>
      <c r="F6" s="4">
        <v>152</v>
      </c>
      <c r="G6" s="4">
        <v>134</v>
      </c>
      <c r="H6" s="4"/>
      <c r="J6" s="4">
        <v>152</v>
      </c>
      <c r="K6" s="4">
        <v>152</v>
      </c>
      <c r="L6" s="4">
        <v>134</v>
      </c>
      <c r="M6" s="11">
        <v>510</v>
      </c>
      <c r="N6" s="11"/>
      <c r="O6" s="4">
        <v>3</v>
      </c>
      <c r="P6" s="4">
        <v>144</v>
      </c>
      <c r="Q6" s="4">
        <v>0</v>
      </c>
      <c r="R6" s="4">
        <v>141</v>
      </c>
      <c r="S6" s="4">
        <v>152</v>
      </c>
      <c r="U6" s="4">
        <v>88</v>
      </c>
      <c r="V6" s="4">
        <v>88</v>
      </c>
      <c r="Z6" s="4"/>
      <c r="AA6" s="4">
        <v>152</v>
      </c>
    </row>
    <row r="7" spans="1:27" x14ac:dyDescent="0.4">
      <c r="A7" s="4">
        <v>4</v>
      </c>
      <c r="B7" s="4">
        <v>510</v>
      </c>
      <c r="C7" s="4">
        <v>510</v>
      </c>
      <c r="D7" s="4"/>
      <c r="E7" s="4">
        <v>510</v>
      </c>
      <c r="F7" s="4">
        <v>498</v>
      </c>
      <c r="G7" s="4">
        <v>510</v>
      </c>
      <c r="H7" s="4"/>
      <c r="J7" s="4">
        <v>510</v>
      </c>
      <c r="K7" s="4">
        <v>74</v>
      </c>
      <c r="L7" s="4">
        <v>510</v>
      </c>
      <c r="M7" s="11">
        <v>430</v>
      </c>
      <c r="N7" s="11" t="s">
        <v>39</v>
      </c>
      <c r="O7" s="4">
        <v>4</v>
      </c>
      <c r="P7" s="4">
        <v>510</v>
      </c>
      <c r="Q7" s="4">
        <v>510</v>
      </c>
      <c r="R7" s="4">
        <v>78</v>
      </c>
      <c r="S7" s="4">
        <v>510</v>
      </c>
      <c r="U7" s="4">
        <v>98</v>
      </c>
      <c r="V7" s="4">
        <v>100</v>
      </c>
      <c r="Z7" s="4"/>
      <c r="AA7" s="4">
        <v>97</v>
      </c>
    </row>
    <row r="8" spans="1:27" x14ac:dyDescent="0.4">
      <c r="A8" s="4">
        <v>5</v>
      </c>
      <c r="B8" s="4">
        <v>430</v>
      </c>
      <c r="C8" s="4">
        <v>430</v>
      </c>
      <c r="D8" s="4"/>
      <c r="E8" s="4">
        <v>430</v>
      </c>
      <c r="F8" s="4">
        <v>418</v>
      </c>
      <c r="G8" s="4">
        <v>271</v>
      </c>
      <c r="H8" s="4"/>
      <c r="J8" s="4">
        <v>430</v>
      </c>
      <c r="K8" s="4">
        <v>418</v>
      </c>
      <c r="L8" s="4">
        <v>0</v>
      </c>
      <c r="M8" s="11">
        <v>152</v>
      </c>
      <c r="N8" s="11" t="s">
        <v>38</v>
      </c>
      <c r="O8" s="4">
        <v>5</v>
      </c>
      <c r="P8" s="4">
        <v>430</v>
      </c>
      <c r="Q8" s="4">
        <v>430</v>
      </c>
      <c r="R8" s="4">
        <v>82</v>
      </c>
      <c r="S8" s="4">
        <v>430</v>
      </c>
      <c r="U8" s="4">
        <v>98</v>
      </c>
      <c r="V8" s="4">
        <v>100</v>
      </c>
      <c r="Z8" s="4"/>
      <c r="AA8" s="4">
        <v>97</v>
      </c>
    </row>
    <row r="9" spans="1:27" x14ac:dyDescent="0.4">
      <c r="A9" s="4">
        <v>6</v>
      </c>
      <c r="B9" s="4">
        <v>106</v>
      </c>
      <c r="C9" s="4">
        <v>256</v>
      </c>
      <c r="D9" s="4"/>
      <c r="E9" s="4">
        <v>254</v>
      </c>
      <c r="F9" s="4">
        <v>0</v>
      </c>
      <c r="G9" s="4">
        <v>256</v>
      </c>
      <c r="H9" s="4"/>
      <c r="J9" s="4">
        <v>160</v>
      </c>
      <c r="K9" s="4">
        <v>240</v>
      </c>
      <c r="L9" s="4">
        <v>256</v>
      </c>
      <c r="M9" s="11">
        <v>238</v>
      </c>
      <c r="O9" s="4">
        <v>6</v>
      </c>
      <c r="P9" s="4">
        <v>176</v>
      </c>
      <c r="Q9" s="4">
        <v>230</v>
      </c>
      <c r="R9" s="4">
        <v>227</v>
      </c>
      <c r="S9" s="4">
        <v>154</v>
      </c>
      <c r="U9" s="4">
        <v>252</v>
      </c>
      <c r="V9" s="4">
        <v>252</v>
      </c>
      <c r="Z9" s="4"/>
      <c r="AA9" s="4">
        <v>206</v>
      </c>
    </row>
    <row r="10" spans="1:27" x14ac:dyDescent="0.4">
      <c r="A10" s="4">
        <v>7</v>
      </c>
      <c r="B10" s="4">
        <v>132</v>
      </c>
      <c r="C10" s="4">
        <v>90</v>
      </c>
      <c r="D10" s="4"/>
      <c r="E10" s="4">
        <v>154</v>
      </c>
      <c r="F10" s="4">
        <v>162</v>
      </c>
      <c r="G10" s="4">
        <v>154</v>
      </c>
      <c r="H10" s="4"/>
      <c r="J10" s="4">
        <v>154</v>
      </c>
      <c r="K10" s="4">
        <v>122</v>
      </c>
      <c r="L10" s="4">
        <v>158</v>
      </c>
      <c r="M10" s="11">
        <v>194</v>
      </c>
      <c r="N10" s="11"/>
      <c r="O10" s="4">
        <v>7</v>
      </c>
      <c r="P10" s="4">
        <v>132</v>
      </c>
      <c r="Q10" s="4">
        <v>84</v>
      </c>
      <c r="R10" s="4">
        <v>107</v>
      </c>
      <c r="S10" s="4">
        <v>98</v>
      </c>
      <c r="U10" s="4">
        <v>140</v>
      </c>
      <c r="V10" s="4">
        <v>136</v>
      </c>
      <c r="Z10" s="4"/>
      <c r="AA10" s="4">
        <v>125</v>
      </c>
    </row>
    <row r="11" spans="1:27" x14ac:dyDescent="0.4">
      <c r="A11" s="4">
        <v>8</v>
      </c>
      <c r="B11" s="4">
        <v>450</v>
      </c>
      <c r="C11" s="4">
        <v>450</v>
      </c>
      <c r="D11" s="4"/>
      <c r="E11" s="4">
        <v>450</v>
      </c>
      <c r="F11" s="4">
        <v>438</v>
      </c>
      <c r="G11" s="4">
        <v>0</v>
      </c>
      <c r="H11" s="4"/>
      <c r="J11" s="4">
        <v>450</v>
      </c>
      <c r="K11" s="4">
        <v>438</v>
      </c>
      <c r="L11" s="4">
        <v>450</v>
      </c>
      <c r="M11" s="11">
        <v>448</v>
      </c>
      <c r="O11" s="4">
        <v>8</v>
      </c>
      <c r="P11" s="4">
        <v>450</v>
      </c>
      <c r="Q11" s="4">
        <v>450</v>
      </c>
      <c r="R11" s="4">
        <v>78</v>
      </c>
      <c r="S11" s="4">
        <v>450</v>
      </c>
      <c r="U11" s="4">
        <v>98</v>
      </c>
      <c r="V11" s="4">
        <v>100</v>
      </c>
      <c r="Z11" s="4"/>
      <c r="AA11" s="4">
        <v>97</v>
      </c>
    </row>
    <row r="12" spans="1:27" x14ac:dyDescent="0.4">
      <c r="A12" s="4">
        <v>9</v>
      </c>
      <c r="B12" s="4">
        <v>648</v>
      </c>
      <c r="C12" s="4">
        <v>483</v>
      </c>
      <c r="D12" s="4"/>
      <c r="E12" s="4">
        <v>520</v>
      </c>
      <c r="F12" s="4">
        <v>648</v>
      </c>
      <c r="G12" s="4">
        <v>610</v>
      </c>
      <c r="H12" s="4"/>
      <c r="J12" s="4">
        <v>520</v>
      </c>
      <c r="K12" s="4">
        <v>648</v>
      </c>
      <c r="L12" s="4">
        <v>610</v>
      </c>
      <c r="M12" s="11">
        <v>638</v>
      </c>
      <c r="O12" s="4">
        <v>9</v>
      </c>
      <c r="P12" s="4">
        <v>648</v>
      </c>
      <c r="Q12" s="4">
        <v>483</v>
      </c>
      <c r="R12" s="4">
        <v>480</v>
      </c>
      <c r="S12" s="4">
        <v>592</v>
      </c>
      <c r="U12" s="4">
        <v>628</v>
      </c>
      <c r="V12" s="4">
        <v>628</v>
      </c>
      <c r="Z12" s="4"/>
      <c r="AA12" s="4">
        <v>494</v>
      </c>
    </row>
    <row r="13" spans="1:27" x14ac:dyDescent="0.4">
      <c r="A13" s="4">
        <v>10</v>
      </c>
      <c r="B13" s="4">
        <v>232</v>
      </c>
      <c r="C13" s="4">
        <v>244</v>
      </c>
      <c r="D13" s="4"/>
      <c r="E13" s="4">
        <v>238</v>
      </c>
      <c r="F13" s="4">
        <v>232</v>
      </c>
      <c r="G13" s="4">
        <v>140</v>
      </c>
      <c r="H13" s="4"/>
      <c r="J13" s="4">
        <v>0</v>
      </c>
      <c r="K13" s="4">
        <v>232</v>
      </c>
      <c r="L13" s="4">
        <v>140</v>
      </c>
      <c r="M13" s="11">
        <v>226</v>
      </c>
      <c r="O13" s="4">
        <v>10</v>
      </c>
      <c r="P13" s="4">
        <v>232</v>
      </c>
      <c r="Q13" s="4">
        <v>244</v>
      </c>
      <c r="R13" s="4">
        <v>244</v>
      </c>
      <c r="S13" s="4">
        <v>232</v>
      </c>
      <c r="U13" s="4">
        <v>98</v>
      </c>
      <c r="V13" s="4">
        <v>100</v>
      </c>
      <c r="Z13" s="4"/>
      <c r="AA13" s="4">
        <v>192</v>
      </c>
    </row>
    <row r="14" spans="1:27" x14ac:dyDescent="0.4">
      <c r="A14" s="4">
        <v>11</v>
      </c>
      <c r="B14" s="4">
        <v>222</v>
      </c>
      <c r="C14" s="4">
        <v>219</v>
      </c>
      <c r="D14" s="4"/>
      <c r="E14" s="4">
        <v>222</v>
      </c>
      <c r="F14" s="4">
        <v>222</v>
      </c>
      <c r="G14" s="4">
        <v>214</v>
      </c>
      <c r="H14" s="4"/>
      <c r="J14" s="4">
        <v>100</v>
      </c>
      <c r="K14" s="4">
        <v>222</v>
      </c>
      <c r="L14" s="4">
        <v>214</v>
      </c>
      <c r="M14" s="11">
        <v>213</v>
      </c>
      <c r="O14" s="4">
        <v>11</v>
      </c>
      <c r="P14" s="4">
        <v>222</v>
      </c>
      <c r="Q14" s="4">
        <v>219</v>
      </c>
      <c r="R14" s="4">
        <v>219</v>
      </c>
      <c r="S14" s="4">
        <v>214</v>
      </c>
      <c r="U14" s="4">
        <v>92</v>
      </c>
      <c r="V14" s="4">
        <v>92</v>
      </c>
      <c r="Z14" s="4"/>
      <c r="AA14" s="4">
        <v>100</v>
      </c>
    </row>
    <row r="15" spans="1:27" x14ac:dyDescent="0.4">
      <c r="A15" s="4">
        <v>12</v>
      </c>
      <c r="B15" s="4">
        <v>214</v>
      </c>
      <c r="C15" s="4">
        <v>195</v>
      </c>
      <c r="D15" s="4"/>
      <c r="E15" s="4">
        <v>208</v>
      </c>
      <c r="F15" s="4">
        <v>182</v>
      </c>
      <c r="G15" s="4">
        <v>132</v>
      </c>
      <c r="H15" s="4"/>
      <c r="J15" s="4">
        <v>0</v>
      </c>
      <c r="K15" s="4">
        <v>182</v>
      </c>
      <c r="L15" s="4">
        <v>132</v>
      </c>
      <c r="M15" s="11">
        <v>208</v>
      </c>
      <c r="O15" s="4">
        <v>12</v>
      </c>
      <c r="P15" s="4">
        <v>214</v>
      </c>
      <c r="Q15" s="4">
        <v>195</v>
      </c>
      <c r="R15" s="4">
        <v>195</v>
      </c>
      <c r="S15" s="4">
        <v>188</v>
      </c>
      <c r="U15" s="4">
        <v>132</v>
      </c>
      <c r="V15" s="4">
        <v>132</v>
      </c>
      <c r="Z15" s="4"/>
      <c r="AA15" s="4">
        <v>172</v>
      </c>
    </row>
    <row r="16" spans="1:27" x14ac:dyDescent="0.4">
      <c r="A16" s="4">
        <v>13</v>
      </c>
      <c r="B16" s="4">
        <v>163</v>
      </c>
      <c r="C16" s="4">
        <v>147</v>
      </c>
      <c r="D16" s="4"/>
      <c r="E16" s="4">
        <v>182</v>
      </c>
      <c r="F16" s="4">
        <v>162</v>
      </c>
      <c r="G16" s="4">
        <v>120</v>
      </c>
      <c r="H16" s="4"/>
      <c r="J16" s="4">
        <v>0</v>
      </c>
      <c r="K16" s="4">
        <v>192</v>
      </c>
      <c r="L16" s="4">
        <v>138</v>
      </c>
      <c r="M16" s="11">
        <v>161</v>
      </c>
      <c r="O16" s="4">
        <v>13</v>
      </c>
      <c r="P16" s="4">
        <v>109</v>
      </c>
      <c r="Q16" s="4">
        <v>188</v>
      </c>
      <c r="R16" s="4">
        <v>188</v>
      </c>
      <c r="S16" s="4">
        <v>184</v>
      </c>
      <c r="U16" s="4">
        <v>0</v>
      </c>
      <c r="V16" s="4">
        <v>88</v>
      </c>
      <c r="Z16" s="4"/>
      <c r="AA16" s="4">
        <v>85</v>
      </c>
    </row>
    <row r="17" spans="1:27" x14ac:dyDescent="0.4">
      <c r="A17" s="4">
        <v>14</v>
      </c>
      <c r="B17" s="4">
        <v>175</v>
      </c>
      <c r="C17" s="4">
        <v>189</v>
      </c>
      <c r="D17" s="4"/>
      <c r="E17" s="4">
        <v>170</v>
      </c>
      <c r="F17" s="4">
        <v>210</v>
      </c>
      <c r="G17" s="4">
        <v>162</v>
      </c>
      <c r="H17" s="4"/>
      <c r="J17" s="4">
        <v>0</v>
      </c>
      <c r="K17" s="4">
        <v>180</v>
      </c>
      <c r="L17" s="4">
        <v>150</v>
      </c>
      <c r="M17" s="11">
        <v>206</v>
      </c>
      <c r="O17" s="4">
        <v>14</v>
      </c>
      <c r="P17" s="4">
        <v>171</v>
      </c>
      <c r="Q17" s="4">
        <v>151</v>
      </c>
      <c r="R17" s="4">
        <v>204</v>
      </c>
      <c r="S17" s="4">
        <v>188</v>
      </c>
      <c r="U17" s="4">
        <v>92</v>
      </c>
      <c r="V17" s="4">
        <v>92</v>
      </c>
      <c r="Z17" s="4"/>
      <c r="AA17" s="4">
        <v>138</v>
      </c>
    </row>
    <row r="18" spans="1:27" x14ac:dyDescent="0.4">
      <c r="A18" s="4">
        <v>15</v>
      </c>
      <c r="B18" s="4">
        <v>88</v>
      </c>
      <c r="C18" s="4">
        <v>100</v>
      </c>
      <c r="D18" s="4"/>
      <c r="E18" s="4">
        <v>62</v>
      </c>
      <c r="F18" s="4">
        <v>160</v>
      </c>
      <c r="G18" s="4">
        <v>184</v>
      </c>
      <c r="H18" s="4"/>
      <c r="J18" s="4">
        <v>100</v>
      </c>
      <c r="K18" s="4">
        <v>156</v>
      </c>
      <c r="L18" s="4">
        <v>188</v>
      </c>
      <c r="M18" s="11">
        <v>154</v>
      </c>
      <c r="O18" s="4">
        <v>15</v>
      </c>
      <c r="P18" s="4">
        <v>65</v>
      </c>
      <c r="Q18" s="4">
        <v>100</v>
      </c>
      <c r="R18" s="4">
        <v>100</v>
      </c>
      <c r="S18" s="4">
        <v>172</v>
      </c>
      <c r="U18" s="4">
        <v>168</v>
      </c>
      <c r="V18" s="4">
        <v>168</v>
      </c>
      <c r="Z18" s="4"/>
      <c r="AA18" s="4">
        <v>151</v>
      </c>
    </row>
    <row r="19" spans="1:27" x14ac:dyDescent="0.4">
      <c r="A19" s="4">
        <v>16</v>
      </c>
      <c r="B19" s="4">
        <v>172</v>
      </c>
      <c r="C19" s="4">
        <v>182</v>
      </c>
      <c r="D19" s="4"/>
      <c r="E19" s="4">
        <v>568</v>
      </c>
      <c r="F19" s="4">
        <v>188</v>
      </c>
      <c r="G19" s="4">
        <v>154</v>
      </c>
      <c r="H19" s="4"/>
      <c r="J19" s="4">
        <v>568</v>
      </c>
      <c r="K19" s="4">
        <v>188</v>
      </c>
      <c r="L19" s="4">
        <v>156</v>
      </c>
      <c r="M19" s="11">
        <v>557</v>
      </c>
      <c r="N19" s="13" t="s">
        <v>40</v>
      </c>
      <c r="O19" s="4">
        <v>16</v>
      </c>
      <c r="P19" s="4">
        <v>172</v>
      </c>
      <c r="Q19" s="4">
        <v>182</v>
      </c>
      <c r="R19" s="4">
        <v>182</v>
      </c>
      <c r="S19" s="4">
        <v>88</v>
      </c>
      <c r="U19" s="4">
        <v>128</v>
      </c>
      <c r="V19" s="4">
        <v>128</v>
      </c>
      <c r="Z19" s="4"/>
      <c r="AA19" s="4">
        <v>164</v>
      </c>
    </row>
    <row r="20" spans="1:27" x14ac:dyDescent="0.4">
      <c r="A20" s="4">
        <v>17</v>
      </c>
      <c r="B20" s="4">
        <v>164</v>
      </c>
      <c r="C20" s="4">
        <v>153</v>
      </c>
      <c r="D20" s="4"/>
      <c r="E20" s="4">
        <v>528</v>
      </c>
      <c r="F20" s="4">
        <v>184</v>
      </c>
      <c r="G20" s="4">
        <v>152</v>
      </c>
      <c r="H20" s="4"/>
      <c r="J20" s="4">
        <v>532</v>
      </c>
      <c r="K20" s="4">
        <v>148</v>
      </c>
      <c r="L20" s="4">
        <v>152</v>
      </c>
      <c r="M20" s="11">
        <v>521</v>
      </c>
      <c r="N20" s="13"/>
      <c r="O20" s="4">
        <v>17</v>
      </c>
      <c r="P20" s="4">
        <v>164</v>
      </c>
      <c r="Q20" s="4">
        <v>0</v>
      </c>
      <c r="R20" s="4">
        <v>172</v>
      </c>
      <c r="S20" s="4">
        <v>80</v>
      </c>
      <c r="U20" s="4">
        <v>126</v>
      </c>
      <c r="V20" s="4">
        <v>128</v>
      </c>
      <c r="Z20" s="4"/>
      <c r="AA20" s="4">
        <v>295</v>
      </c>
    </row>
    <row r="21" spans="1:27" x14ac:dyDescent="0.4">
      <c r="A21" s="4">
        <v>18</v>
      </c>
      <c r="B21" s="4">
        <v>48</v>
      </c>
      <c r="C21" s="4">
        <v>192</v>
      </c>
      <c r="D21" s="4"/>
      <c r="E21" s="4">
        <v>550</v>
      </c>
      <c r="F21" s="4">
        <v>198</v>
      </c>
      <c r="G21" s="4">
        <v>350</v>
      </c>
      <c r="H21" s="4"/>
      <c r="J21" s="4">
        <v>524</v>
      </c>
      <c r="K21" s="4">
        <v>198</v>
      </c>
      <c r="L21" s="4">
        <v>348</v>
      </c>
      <c r="M21" s="11">
        <v>516</v>
      </c>
      <c r="N21" s="13"/>
      <c r="O21" s="4">
        <v>18</v>
      </c>
      <c r="P21" s="4">
        <v>50</v>
      </c>
      <c r="Q21" s="4">
        <v>192</v>
      </c>
      <c r="R21" s="4">
        <v>192</v>
      </c>
      <c r="S21" s="4">
        <v>354</v>
      </c>
      <c r="U21" s="4">
        <v>128</v>
      </c>
      <c r="V21" s="4">
        <v>128</v>
      </c>
      <c r="Z21" s="4"/>
      <c r="AA21" s="4">
        <v>88</v>
      </c>
    </row>
    <row r="22" spans="1:27" x14ac:dyDescent="0.4">
      <c r="A22" s="4">
        <v>19</v>
      </c>
      <c r="B22" s="4">
        <v>98</v>
      </c>
      <c r="C22" s="4">
        <v>234</v>
      </c>
      <c r="D22" s="4"/>
      <c r="E22" s="4">
        <v>234</v>
      </c>
      <c r="F22" s="4">
        <v>299</v>
      </c>
      <c r="G22" s="4">
        <v>786</v>
      </c>
      <c r="H22" s="4"/>
      <c r="J22" s="4">
        <v>234</v>
      </c>
      <c r="K22" s="4">
        <v>299</v>
      </c>
      <c r="L22" s="4">
        <v>784</v>
      </c>
      <c r="M22" s="11">
        <v>614</v>
      </c>
      <c r="N22" s="13" t="s">
        <v>41</v>
      </c>
      <c r="O22" s="4">
        <v>19</v>
      </c>
      <c r="P22" s="4">
        <v>98</v>
      </c>
      <c r="Q22" s="4">
        <v>234</v>
      </c>
      <c r="R22" s="4">
        <v>234</v>
      </c>
      <c r="S22" s="4">
        <v>98</v>
      </c>
      <c r="U22" s="4">
        <v>98</v>
      </c>
      <c r="V22" s="4">
        <v>100</v>
      </c>
      <c r="Z22" s="4"/>
      <c r="AA22" s="4">
        <v>98</v>
      </c>
    </row>
    <row r="23" spans="1:27" x14ac:dyDescent="0.4">
      <c r="A23" s="4">
        <v>20</v>
      </c>
      <c r="B23" s="4">
        <v>100</v>
      </c>
      <c r="C23" s="4">
        <v>274</v>
      </c>
      <c r="D23" s="4"/>
      <c r="E23" s="4">
        <v>274</v>
      </c>
      <c r="F23" s="4">
        <v>268</v>
      </c>
      <c r="G23" s="4">
        <v>864</v>
      </c>
      <c r="H23" s="4"/>
      <c r="J23" s="4">
        <v>274</v>
      </c>
      <c r="K23" s="4">
        <v>266</v>
      </c>
      <c r="L23" s="4">
        <v>866</v>
      </c>
      <c r="M23" s="11">
        <v>694</v>
      </c>
      <c r="N23" s="13"/>
      <c r="O23" s="4">
        <v>20</v>
      </c>
      <c r="P23" s="4">
        <v>98</v>
      </c>
      <c r="Q23" s="4">
        <v>274</v>
      </c>
      <c r="R23" s="4">
        <v>274</v>
      </c>
      <c r="S23" s="4">
        <v>98</v>
      </c>
      <c r="U23" s="4">
        <v>230</v>
      </c>
      <c r="V23" s="4">
        <v>100</v>
      </c>
      <c r="Z23" s="4"/>
      <c r="AA23" s="4">
        <v>98</v>
      </c>
    </row>
    <row r="24" spans="1:27" x14ac:dyDescent="0.4">
      <c r="A24" s="4">
        <v>21</v>
      </c>
      <c r="B24" s="4">
        <v>98</v>
      </c>
      <c r="C24" s="4">
        <v>294</v>
      </c>
      <c r="D24" s="4"/>
      <c r="E24" s="4">
        <v>294</v>
      </c>
      <c r="F24" s="4">
        <v>310</v>
      </c>
      <c r="G24" s="4">
        <v>1064</v>
      </c>
      <c r="H24" s="4"/>
      <c r="J24" s="4">
        <v>294</v>
      </c>
      <c r="K24" s="4">
        <v>310</v>
      </c>
      <c r="L24" s="4">
        <v>1064</v>
      </c>
      <c r="M24" s="11">
        <v>614</v>
      </c>
      <c r="N24" s="13"/>
      <c r="O24" s="4">
        <v>21</v>
      </c>
      <c r="P24" s="4">
        <v>98</v>
      </c>
      <c r="Q24" s="4">
        <v>0</v>
      </c>
      <c r="R24" s="4">
        <v>294</v>
      </c>
      <c r="S24" s="4">
        <v>98</v>
      </c>
      <c r="U24" s="4">
        <v>98</v>
      </c>
      <c r="V24" s="4">
        <v>100</v>
      </c>
      <c r="Z24" s="4"/>
      <c r="AA24" s="4">
        <v>98</v>
      </c>
    </row>
    <row r="25" spans="1:27" x14ac:dyDescent="0.4">
      <c r="A25" s="4">
        <v>22</v>
      </c>
      <c r="B25" s="4">
        <v>34</v>
      </c>
      <c r="C25" s="4">
        <v>95</v>
      </c>
      <c r="D25" s="4"/>
      <c r="E25" s="4">
        <v>1346</v>
      </c>
      <c r="F25" s="4">
        <v>1348</v>
      </c>
      <c r="G25" s="4">
        <v>1069</v>
      </c>
      <c r="H25" s="4"/>
      <c r="J25" s="4">
        <v>1346</v>
      </c>
      <c r="K25" s="4">
        <v>1344</v>
      </c>
      <c r="L25" s="4">
        <v>1069</v>
      </c>
      <c r="M25" s="11">
        <v>1346</v>
      </c>
      <c r="O25" s="4">
        <v>22</v>
      </c>
      <c r="P25" s="4">
        <v>34</v>
      </c>
      <c r="Q25" s="4">
        <v>25</v>
      </c>
      <c r="R25" s="4">
        <v>99</v>
      </c>
      <c r="S25" s="4">
        <v>16</v>
      </c>
      <c r="U25" s="4">
        <v>-38</v>
      </c>
      <c r="V25" s="4">
        <v>100</v>
      </c>
      <c r="Z25" s="4"/>
      <c r="AA25" s="4">
        <v>172</v>
      </c>
    </row>
    <row r="26" spans="1:27" x14ac:dyDescent="0.4">
      <c r="A26" s="4">
        <v>23</v>
      </c>
      <c r="B26" s="4">
        <v>34</v>
      </c>
      <c r="C26" s="4">
        <v>95</v>
      </c>
      <c r="D26" s="4"/>
      <c r="E26" s="4">
        <v>1342</v>
      </c>
      <c r="F26" s="4">
        <v>1341</v>
      </c>
      <c r="G26" s="4">
        <v>1069</v>
      </c>
      <c r="H26" s="4"/>
      <c r="J26" s="4">
        <v>1342</v>
      </c>
      <c r="K26" s="4">
        <v>1348</v>
      </c>
      <c r="L26" s="4">
        <v>1069</v>
      </c>
      <c r="M26" s="11">
        <v>1340</v>
      </c>
      <c r="O26" s="4">
        <v>23</v>
      </c>
      <c r="P26" s="4">
        <v>34</v>
      </c>
      <c r="Q26" s="4">
        <v>25</v>
      </c>
      <c r="R26" s="4">
        <v>99</v>
      </c>
      <c r="S26" s="4">
        <v>18</v>
      </c>
      <c r="U26" s="4">
        <v>-36</v>
      </c>
      <c r="V26" s="4">
        <v>100</v>
      </c>
      <c r="Z26" s="4"/>
      <c r="AA26" s="4">
        <v>172</v>
      </c>
    </row>
    <row r="27" spans="1:27" x14ac:dyDescent="0.4">
      <c r="A27" s="4">
        <v>24</v>
      </c>
      <c r="B27" s="4">
        <v>34</v>
      </c>
      <c r="C27" s="4">
        <v>95</v>
      </c>
      <c r="D27" s="4"/>
      <c r="E27" s="4">
        <v>1346</v>
      </c>
      <c r="F27" s="4">
        <v>1348</v>
      </c>
      <c r="G27" s="4">
        <v>1069</v>
      </c>
      <c r="H27" s="4"/>
      <c r="J27" s="4">
        <v>1342</v>
      </c>
      <c r="K27" s="4">
        <v>1348</v>
      </c>
      <c r="L27" s="4">
        <v>0</v>
      </c>
      <c r="M27" s="11">
        <v>1340</v>
      </c>
      <c r="O27" s="4">
        <v>24</v>
      </c>
      <c r="P27" s="4">
        <v>0</v>
      </c>
      <c r="Q27" s="4">
        <v>95</v>
      </c>
      <c r="R27" s="4">
        <v>99</v>
      </c>
      <c r="S27" s="4">
        <v>18</v>
      </c>
      <c r="U27" s="4">
        <v>-38</v>
      </c>
      <c r="V27" s="4">
        <v>100</v>
      </c>
      <c r="Z27" s="4"/>
      <c r="AA27" s="4">
        <v>172</v>
      </c>
    </row>
    <row r="28" spans="1:27" x14ac:dyDescent="0.4">
      <c r="A28" s="4">
        <v>25</v>
      </c>
      <c r="B28" s="4">
        <v>906</v>
      </c>
      <c r="C28" s="4">
        <v>1471</v>
      </c>
      <c r="D28" s="4"/>
      <c r="E28" s="4">
        <v>1474</v>
      </c>
      <c r="F28" s="4">
        <v>1652</v>
      </c>
      <c r="G28" s="4">
        <v>0</v>
      </c>
      <c r="H28" s="4"/>
      <c r="J28" s="4">
        <v>1474</v>
      </c>
      <c r="K28" s="4">
        <v>1652</v>
      </c>
      <c r="L28" s="4">
        <v>1474</v>
      </c>
      <c r="M28" s="11">
        <v>1650</v>
      </c>
      <c r="N28" s="11"/>
      <c r="O28" s="4">
        <v>25</v>
      </c>
      <c r="P28" s="4">
        <v>906</v>
      </c>
      <c r="Q28" s="4">
        <v>1471</v>
      </c>
      <c r="R28" s="4">
        <v>1471</v>
      </c>
      <c r="S28" s="4">
        <v>328</v>
      </c>
      <c r="U28" s="4">
        <v>1666</v>
      </c>
      <c r="V28" s="4">
        <v>92</v>
      </c>
      <c r="Z28" s="4"/>
      <c r="AA28" s="4">
        <v>1468</v>
      </c>
    </row>
    <row r="29" spans="1:27" x14ac:dyDescent="0.4">
      <c r="A29" s="4">
        <v>26</v>
      </c>
      <c r="B29" s="4">
        <v>906</v>
      </c>
      <c r="C29" s="4">
        <v>1471</v>
      </c>
      <c r="D29" s="4"/>
      <c r="E29" s="4">
        <v>1474</v>
      </c>
      <c r="F29" s="4">
        <v>1652</v>
      </c>
      <c r="G29" s="4">
        <v>1474</v>
      </c>
      <c r="H29" s="4"/>
      <c r="J29" s="4">
        <v>1474</v>
      </c>
      <c r="K29" s="4">
        <v>1652</v>
      </c>
      <c r="L29" s="4">
        <v>1474</v>
      </c>
      <c r="M29" s="11">
        <v>1650</v>
      </c>
      <c r="N29" s="11"/>
      <c r="O29" s="4">
        <v>26</v>
      </c>
      <c r="P29" s="4">
        <v>906</v>
      </c>
      <c r="Q29" s="4">
        <v>1471</v>
      </c>
      <c r="R29" s="4">
        <v>1471</v>
      </c>
      <c r="S29" s="4">
        <v>328</v>
      </c>
      <c r="U29" s="4">
        <v>1666</v>
      </c>
      <c r="V29" s="4">
        <v>92</v>
      </c>
      <c r="Z29" s="4"/>
      <c r="AA29" s="4">
        <v>1468</v>
      </c>
    </row>
    <row r="30" spans="1:27" x14ac:dyDescent="0.4">
      <c r="A30" s="4">
        <v>27</v>
      </c>
      <c r="B30" s="4">
        <v>906</v>
      </c>
      <c r="C30" s="4">
        <v>1471</v>
      </c>
      <c r="D30" s="4"/>
      <c r="E30" s="4">
        <v>1474</v>
      </c>
      <c r="F30" s="4">
        <v>1652</v>
      </c>
      <c r="G30" s="4">
        <v>1474</v>
      </c>
      <c r="H30" s="4"/>
      <c r="J30" s="4">
        <v>1474</v>
      </c>
      <c r="K30" s="4">
        <v>1652</v>
      </c>
      <c r="L30" s="4">
        <v>1474</v>
      </c>
      <c r="M30" s="11">
        <v>1650</v>
      </c>
      <c r="N30" s="11"/>
      <c r="O30" s="4">
        <v>27</v>
      </c>
      <c r="P30" s="4">
        <v>906</v>
      </c>
      <c r="Q30" s="4">
        <v>1471</v>
      </c>
      <c r="R30" s="4">
        <v>1471</v>
      </c>
      <c r="S30" s="4">
        <v>328</v>
      </c>
      <c r="U30" s="4">
        <v>1666</v>
      </c>
      <c r="V30" s="4">
        <v>92</v>
      </c>
      <c r="Z30" s="4"/>
      <c r="AA30" s="4">
        <v>1468</v>
      </c>
    </row>
    <row r="31" spans="1:27" x14ac:dyDescent="0.4">
      <c r="A31" s="4">
        <v>28</v>
      </c>
      <c r="B31" s="4">
        <v>98</v>
      </c>
      <c r="C31" s="4">
        <v>234</v>
      </c>
      <c r="D31" s="4"/>
      <c r="E31" s="4">
        <v>234</v>
      </c>
      <c r="F31" s="4">
        <v>299</v>
      </c>
      <c r="G31" s="4">
        <v>784</v>
      </c>
      <c r="H31" s="4"/>
      <c r="J31" s="4">
        <v>234</v>
      </c>
      <c r="K31" s="4">
        <v>299</v>
      </c>
      <c r="L31" s="4">
        <v>784</v>
      </c>
      <c r="M31" s="11">
        <v>608</v>
      </c>
      <c r="O31" s="4">
        <v>28</v>
      </c>
      <c r="P31" s="4">
        <v>98</v>
      </c>
      <c r="Q31" s="4">
        <v>234</v>
      </c>
      <c r="R31" s="4">
        <v>234</v>
      </c>
      <c r="S31" s="4">
        <v>98</v>
      </c>
      <c r="U31" s="4">
        <v>98</v>
      </c>
      <c r="V31" s="4">
        <v>100</v>
      </c>
      <c r="Z31" s="4"/>
      <c r="AA31" s="4">
        <v>98</v>
      </c>
    </row>
    <row r="32" spans="1:27" x14ac:dyDescent="0.4">
      <c r="A32" s="4">
        <v>29</v>
      </c>
      <c r="B32" s="4">
        <v>98</v>
      </c>
      <c r="C32" s="4">
        <v>0</v>
      </c>
      <c r="D32" s="4"/>
      <c r="E32" s="4">
        <v>254</v>
      </c>
      <c r="F32" s="4">
        <v>248</v>
      </c>
      <c r="G32" s="4">
        <v>944</v>
      </c>
      <c r="H32" s="4"/>
      <c r="J32" s="4">
        <v>254</v>
      </c>
      <c r="K32" s="4">
        <v>248</v>
      </c>
      <c r="L32" s="4">
        <v>944</v>
      </c>
      <c r="M32" s="11">
        <v>654</v>
      </c>
      <c r="O32" s="4">
        <v>29</v>
      </c>
      <c r="P32" s="4">
        <v>98</v>
      </c>
      <c r="Q32" s="4">
        <v>254</v>
      </c>
      <c r="R32" s="4">
        <v>254</v>
      </c>
      <c r="S32" s="4">
        <v>98</v>
      </c>
      <c r="U32" s="4">
        <v>98</v>
      </c>
      <c r="V32" s="4">
        <v>100</v>
      </c>
      <c r="Z32" s="4"/>
      <c r="AA32" s="4">
        <v>98</v>
      </c>
    </row>
    <row r="33" spans="1:27" x14ac:dyDescent="0.4">
      <c r="A33" s="4">
        <v>30</v>
      </c>
      <c r="B33" s="4">
        <v>94</v>
      </c>
      <c r="C33" s="4">
        <v>254</v>
      </c>
      <c r="D33" s="4"/>
      <c r="E33" s="4">
        <v>214</v>
      </c>
      <c r="F33" s="4">
        <v>279</v>
      </c>
      <c r="G33" s="4">
        <v>1066</v>
      </c>
      <c r="H33" s="4"/>
      <c r="J33" s="4">
        <v>214</v>
      </c>
      <c r="K33" s="4">
        <v>279</v>
      </c>
      <c r="L33" s="4">
        <v>1064</v>
      </c>
      <c r="M33" s="11">
        <v>812</v>
      </c>
      <c r="O33" s="4">
        <v>30</v>
      </c>
      <c r="P33" s="4">
        <v>94</v>
      </c>
      <c r="Q33" s="4">
        <v>214</v>
      </c>
      <c r="R33" s="4">
        <v>214</v>
      </c>
      <c r="S33" s="4">
        <v>98</v>
      </c>
      <c r="U33" s="4">
        <v>86</v>
      </c>
      <c r="V33" s="4">
        <v>100</v>
      </c>
      <c r="Z33" s="4"/>
      <c r="AA33" s="4">
        <v>98</v>
      </c>
    </row>
    <row r="34" spans="1:27" x14ac:dyDescent="0.4">
      <c r="A34" s="4">
        <v>31</v>
      </c>
      <c r="B34" s="4">
        <v>124</v>
      </c>
      <c r="C34" s="4">
        <v>166</v>
      </c>
      <c r="D34" s="4"/>
      <c r="E34" s="4">
        <v>586</v>
      </c>
      <c r="F34" s="4">
        <v>166</v>
      </c>
      <c r="G34" s="4">
        <v>118</v>
      </c>
      <c r="H34" s="4"/>
      <c r="J34" s="4">
        <v>586</v>
      </c>
      <c r="K34" s="4">
        <v>164</v>
      </c>
      <c r="L34" s="4">
        <v>120</v>
      </c>
      <c r="M34" s="11">
        <v>566</v>
      </c>
      <c r="O34" s="4">
        <v>31</v>
      </c>
      <c r="P34" s="4">
        <v>122</v>
      </c>
      <c r="Q34" s="4">
        <v>164</v>
      </c>
      <c r="R34" s="4">
        <v>0</v>
      </c>
      <c r="S34" s="4">
        <v>130</v>
      </c>
      <c r="U34" s="4">
        <v>86</v>
      </c>
      <c r="V34" s="4">
        <v>0</v>
      </c>
      <c r="Z34" s="4"/>
      <c r="AA34" s="4">
        <v>556</v>
      </c>
    </row>
    <row r="35" spans="1:27" x14ac:dyDescent="0.4">
      <c r="A35" s="4">
        <v>32</v>
      </c>
      <c r="B35" s="4">
        <v>122</v>
      </c>
      <c r="C35" s="4">
        <v>164</v>
      </c>
      <c r="D35" s="4"/>
      <c r="E35" s="4">
        <v>586</v>
      </c>
      <c r="F35" s="4">
        <v>164</v>
      </c>
      <c r="G35" s="4">
        <v>120</v>
      </c>
      <c r="H35" s="4"/>
      <c r="J35" s="4">
        <v>586</v>
      </c>
      <c r="K35" s="4">
        <v>164</v>
      </c>
      <c r="L35" s="4">
        <v>118</v>
      </c>
      <c r="M35" s="11">
        <v>566</v>
      </c>
      <c r="O35" s="4">
        <v>32</v>
      </c>
      <c r="P35" s="4">
        <v>122</v>
      </c>
      <c r="Q35" s="4">
        <v>166</v>
      </c>
      <c r="R35" s="4">
        <v>116</v>
      </c>
      <c r="S35" s="4">
        <v>132</v>
      </c>
      <c r="U35" s="4">
        <v>86</v>
      </c>
      <c r="V35" s="4">
        <v>88</v>
      </c>
      <c r="Z35" s="4"/>
      <c r="AA35" s="4">
        <v>556</v>
      </c>
    </row>
    <row r="36" spans="1:27" x14ac:dyDescent="0.4">
      <c r="A36" s="4">
        <v>33</v>
      </c>
      <c r="B36" s="4">
        <v>124</v>
      </c>
      <c r="C36" s="4">
        <v>166</v>
      </c>
      <c r="D36" s="4"/>
      <c r="E36" s="4">
        <v>586</v>
      </c>
      <c r="F36" s="4">
        <v>166</v>
      </c>
      <c r="G36" s="4">
        <v>118</v>
      </c>
      <c r="H36" s="4"/>
      <c r="J36" s="4">
        <v>586</v>
      </c>
      <c r="K36" s="4">
        <v>164</v>
      </c>
      <c r="L36" s="4">
        <v>118</v>
      </c>
      <c r="M36" s="11">
        <v>566</v>
      </c>
      <c r="O36" s="4">
        <v>33</v>
      </c>
      <c r="P36" s="4">
        <v>122</v>
      </c>
      <c r="Q36" s="4">
        <v>164</v>
      </c>
      <c r="R36" s="4">
        <v>118</v>
      </c>
      <c r="S36" s="4">
        <v>130</v>
      </c>
      <c r="U36" s="4">
        <v>92</v>
      </c>
      <c r="V36" s="4">
        <v>86</v>
      </c>
      <c r="Z36" s="4"/>
      <c r="AA36" s="4">
        <v>558</v>
      </c>
    </row>
    <row r="37" spans="1:27" x14ac:dyDescent="0.4">
      <c r="A37" s="4">
        <v>34</v>
      </c>
      <c r="B37" s="4">
        <v>0</v>
      </c>
      <c r="C37" s="4">
        <v>1251</v>
      </c>
      <c r="D37" s="4"/>
      <c r="E37" s="4">
        <v>1702</v>
      </c>
      <c r="F37" s="4">
        <v>1699</v>
      </c>
      <c r="G37" s="4">
        <v>1678</v>
      </c>
      <c r="H37" s="4"/>
      <c r="J37" s="4">
        <v>1702</v>
      </c>
      <c r="K37" s="4">
        <v>1699</v>
      </c>
      <c r="L37" s="4">
        <v>1678</v>
      </c>
      <c r="M37" s="11">
        <v>1704</v>
      </c>
      <c r="O37" s="4">
        <v>34</v>
      </c>
      <c r="P37" s="4">
        <v>1714</v>
      </c>
      <c r="Q37" s="4">
        <v>1251</v>
      </c>
      <c r="R37" s="4">
        <v>1251</v>
      </c>
      <c r="S37" s="4">
        <v>1668</v>
      </c>
      <c r="U37" s="4">
        <v>94</v>
      </c>
      <c r="V37" s="4">
        <v>1680</v>
      </c>
      <c r="Z37" s="4"/>
      <c r="AA37" s="4">
        <v>1580</v>
      </c>
    </row>
    <row r="38" spans="1:27" x14ac:dyDescent="0.4">
      <c r="A38" s="4">
        <v>35</v>
      </c>
      <c r="B38" s="4">
        <v>1714</v>
      </c>
      <c r="C38" s="4">
        <v>1251</v>
      </c>
      <c r="D38" s="4"/>
      <c r="E38" s="4">
        <v>1702</v>
      </c>
      <c r="F38" s="4">
        <v>1699</v>
      </c>
      <c r="G38" s="4">
        <v>1678</v>
      </c>
      <c r="H38" s="4"/>
      <c r="J38" s="4">
        <v>1702</v>
      </c>
      <c r="K38" s="4">
        <v>1699</v>
      </c>
      <c r="L38" s="4">
        <v>1678</v>
      </c>
      <c r="M38" s="11">
        <v>1734</v>
      </c>
      <c r="O38" s="4">
        <v>35</v>
      </c>
      <c r="P38" s="4">
        <v>1714</v>
      </c>
      <c r="Q38" s="4">
        <v>1251</v>
      </c>
      <c r="R38" s="4">
        <v>1251</v>
      </c>
      <c r="S38" s="4">
        <v>1668</v>
      </c>
      <c r="U38" s="4">
        <v>94</v>
      </c>
      <c r="V38" s="4">
        <v>1680</v>
      </c>
      <c r="Z38" s="4"/>
      <c r="AA38" s="4">
        <v>0</v>
      </c>
    </row>
    <row r="39" spans="1:27" x14ac:dyDescent="0.4">
      <c r="A39" s="4">
        <v>36</v>
      </c>
      <c r="B39" s="4">
        <v>1714</v>
      </c>
      <c r="C39" s="4">
        <v>1251</v>
      </c>
      <c r="D39" s="4"/>
      <c r="E39" s="4">
        <v>1702</v>
      </c>
      <c r="F39" s="4">
        <v>1699</v>
      </c>
      <c r="G39" s="4">
        <v>1678</v>
      </c>
      <c r="H39" s="4"/>
      <c r="J39" s="4">
        <v>1702</v>
      </c>
      <c r="K39" s="4">
        <v>1699</v>
      </c>
      <c r="L39" s="4">
        <v>1678</v>
      </c>
      <c r="M39" s="11">
        <v>1724</v>
      </c>
      <c r="O39" s="4">
        <v>36</v>
      </c>
      <c r="P39" s="4">
        <v>1714</v>
      </c>
      <c r="Q39" s="4">
        <v>1251</v>
      </c>
      <c r="R39" s="4">
        <v>1251</v>
      </c>
      <c r="S39" s="4">
        <v>1668</v>
      </c>
      <c r="U39" s="4">
        <v>0</v>
      </c>
      <c r="V39" s="4">
        <v>1680</v>
      </c>
      <c r="Z39" s="4"/>
      <c r="AA39" s="4">
        <v>1580</v>
      </c>
    </row>
    <row r="40" spans="1:27" x14ac:dyDescent="0.4">
      <c r="A40" s="5"/>
      <c r="B40" s="6">
        <f t="shared" ref="B40:E40" si="0">SUM(B4:B39)</f>
        <v>12398</v>
      </c>
      <c r="C40" s="6">
        <f t="shared" si="0"/>
        <v>15184</v>
      </c>
      <c r="D40" s="6"/>
      <c r="E40" s="6">
        <f t="shared" si="0"/>
        <v>23062</v>
      </c>
      <c r="F40" s="6">
        <f>SUM(F4:F39)</f>
        <v>21639</v>
      </c>
      <c r="G40" s="6">
        <f>SUM(G4:G39)</f>
        <v>21816</v>
      </c>
      <c r="H40" s="6"/>
      <c r="J40" s="6">
        <f>SUM(J4:J39)</f>
        <v>22060</v>
      </c>
      <c r="K40" s="6">
        <f>SUM(K4:K39)</f>
        <v>21372</v>
      </c>
      <c r="L40" s="6">
        <f>SUM(L4:L39)</f>
        <v>22412</v>
      </c>
      <c r="M40" s="12">
        <f>SUM(M4:M39)</f>
        <v>26488</v>
      </c>
      <c r="N40" s="12"/>
      <c r="O40" s="5"/>
      <c r="P40" s="6">
        <f t="shared" ref="P40:AA40" si="1">SUM(P4:P39)</f>
        <v>14063</v>
      </c>
      <c r="Q40" s="6">
        <f t="shared" si="1"/>
        <v>14639</v>
      </c>
      <c r="R40" s="6">
        <f t="shared" si="1"/>
        <v>14050</v>
      </c>
      <c r="S40" s="6">
        <f t="shared" si="1"/>
        <v>12294</v>
      </c>
      <c r="U40" s="6">
        <f t="shared" si="1"/>
        <v>9666</v>
      </c>
      <c r="V40" s="6">
        <f t="shared" si="1"/>
        <v>10106</v>
      </c>
      <c r="Z40" s="6">
        <f t="shared" si="1"/>
        <v>0</v>
      </c>
      <c r="AA40" s="6">
        <f t="shared" si="1"/>
        <v>13979</v>
      </c>
    </row>
    <row r="41" spans="1:27" x14ac:dyDescent="0.4">
      <c r="B41">
        <v>12478</v>
      </c>
    </row>
    <row r="43" spans="1:27" x14ac:dyDescent="0.4">
      <c r="M43" s="9"/>
      <c r="N43" s="9"/>
    </row>
  </sheetData>
  <mergeCells count="2">
    <mergeCell ref="N19:N21"/>
    <mergeCell ref="N22:N24"/>
  </mergeCells>
  <phoneticPr fontId="1" type="noConversion"/>
  <conditionalFormatting sqref="N10">
    <cfRule type="colorScale" priority="1">
      <colorScale>
        <cfvo type="min"/>
        <cfvo type="max"/>
        <color theme="0"/>
        <color theme="5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O10:S10 A10:H10 U10:V10 Z10:XFD10 J10:M10">
    <cfRule type="colorScale" priority="729">
      <colorScale>
        <cfvo type="min"/>
        <cfvo type="max"/>
        <color theme="0"/>
        <color theme="5"/>
      </colorScale>
    </cfRule>
    <cfRule type="colorScale" priority="730">
      <colorScale>
        <cfvo type="min"/>
        <cfvo type="max"/>
        <color rgb="FFFF7128"/>
        <color rgb="FFFFEF9C"/>
      </colorScale>
    </cfRule>
  </conditionalFormatting>
  <conditionalFormatting sqref="O20:S20 A20:H20 U20:V20 Z20:XFD20 J20:M20">
    <cfRule type="colorScale" priority="741">
      <colorScale>
        <cfvo type="min"/>
        <cfvo type="max"/>
        <color theme="0"/>
        <color theme="5"/>
      </colorScale>
    </cfRule>
    <cfRule type="colorScale" priority="742">
      <colorScale>
        <cfvo type="min"/>
        <cfvo type="max"/>
        <color rgb="FFFF7128"/>
        <color rgb="FFFFEF9C"/>
      </colorScale>
    </cfRule>
  </conditionalFormatting>
  <conditionalFormatting sqref="O21:S21 A21:H21 U21:V21 Z21:XFD21 J21:M21">
    <cfRule type="colorScale" priority="753">
      <colorScale>
        <cfvo type="min"/>
        <cfvo type="max"/>
        <color theme="0"/>
        <color theme="5"/>
      </colorScale>
    </cfRule>
    <cfRule type="colorScale" priority="754">
      <colorScale>
        <cfvo type="min"/>
        <cfvo type="max"/>
        <color rgb="FFFF7128"/>
        <color rgb="FFFFEF9C"/>
      </colorScale>
    </cfRule>
  </conditionalFormatting>
  <conditionalFormatting sqref="O23:S23 A23:H23 U23:V23 Z23:XFD23 J23:M23">
    <cfRule type="colorScale" priority="765">
      <colorScale>
        <cfvo type="min"/>
        <cfvo type="max"/>
        <color theme="0"/>
        <color theme="5"/>
      </colorScale>
    </cfRule>
    <cfRule type="colorScale" priority="766">
      <colorScale>
        <cfvo type="min"/>
        <cfvo type="max"/>
        <color rgb="FFFF7128"/>
        <color rgb="FFFFEF9C"/>
      </colorScale>
    </cfRule>
  </conditionalFormatting>
  <conditionalFormatting sqref="O24:S24 A24:H24 U24:V24 Z24:XFD24 J24:M24">
    <cfRule type="colorScale" priority="777">
      <colorScale>
        <cfvo type="min"/>
        <cfvo type="max"/>
        <color theme="0"/>
        <color theme="5"/>
      </colorScale>
    </cfRule>
    <cfRule type="colorScale" priority="778">
      <colorScale>
        <cfvo type="min"/>
        <cfvo type="max"/>
        <color rgb="FFFF7128"/>
        <color rgb="FFFFEF9C"/>
      </colorScale>
    </cfRule>
  </conditionalFormatting>
  <conditionalFormatting sqref="U5:V5 Z5:XFD5 J5:S5 A5:H5">
    <cfRule type="colorScale" priority="789">
      <colorScale>
        <cfvo type="min"/>
        <cfvo type="max"/>
        <color theme="0"/>
        <color theme="5"/>
      </colorScale>
    </cfRule>
    <cfRule type="colorScale" priority="790">
      <colorScale>
        <cfvo type="min"/>
        <cfvo type="max"/>
        <color rgb="FFFF7128"/>
        <color rgb="FFFFEF9C"/>
      </colorScale>
    </cfRule>
  </conditionalFormatting>
  <conditionalFormatting sqref="U6:V6 Z6:XFD6 J6:S6 A6:H6">
    <cfRule type="colorScale" priority="799">
      <colorScale>
        <cfvo type="min"/>
        <cfvo type="max"/>
        <color theme="0"/>
        <color theme="5"/>
      </colorScale>
    </cfRule>
    <cfRule type="colorScale" priority="800">
      <colorScale>
        <cfvo type="min"/>
        <cfvo type="max"/>
        <color rgb="FFFF7128"/>
        <color rgb="FFFFEF9C"/>
      </colorScale>
    </cfRule>
  </conditionalFormatting>
  <conditionalFormatting sqref="U7:V7 Z7:XFD7 J7:S7 A7:H7">
    <cfRule type="colorScale" priority="809">
      <colorScale>
        <cfvo type="min"/>
        <cfvo type="max"/>
        <color theme="0"/>
        <color theme="5"/>
      </colorScale>
    </cfRule>
    <cfRule type="colorScale" priority="810">
      <colorScale>
        <cfvo type="min"/>
        <cfvo type="max"/>
        <color rgb="FFFF7128"/>
        <color rgb="FFFFEF9C"/>
      </colorScale>
    </cfRule>
  </conditionalFormatting>
  <conditionalFormatting sqref="U8:V8 Z8:XFD8 J8:S8 A8:H8">
    <cfRule type="colorScale" priority="819">
      <colorScale>
        <cfvo type="min"/>
        <cfvo type="max"/>
        <color theme="0"/>
        <color theme="5"/>
      </colorScale>
    </cfRule>
    <cfRule type="colorScale" priority="820">
      <colorScale>
        <cfvo type="min"/>
        <cfvo type="max"/>
        <color rgb="FFFF7128"/>
        <color rgb="FFFFEF9C"/>
      </colorScale>
    </cfRule>
  </conditionalFormatting>
  <conditionalFormatting sqref="U9:V9 Z9:XFD9 J9:S9 A9:H9">
    <cfRule type="colorScale" priority="829">
      <colorScale>
        <cfvo type="min"/>
        <cfvo type="max"/>
        <color theme="0"/>
        <color theme="5"/>
      </colorScale>
    </cfRule>
    <cfRule type="colorScale" priority="830">
      <colorScale>
        <cfvo type="min"/>
        <cfvo type="max"/>
        <color rgb="FFFF7128"/>
        <color rgb="FFFFEF9C"/>
      </colorScale>
    </cfRule>
  </conditionalFormatting>
  <conditionalFormatting sqref="U11:V11 Z11:XFD11 J11:S11 A11:H11">
    <cfRule type="colorScale" priority="839">
      <colorScale>
        <cfvo type="min"/>
        <cfvo type="max"/>
        <color theme="0"/>
        <color theme="5"/>
      </colorScale>
    </cfRule>
    <cfRule type="colorScale" priority="840">
      <colorScale>
        <cfvo type="min"/>
        <cfvo type="max"/>
        <color rgb="FFFF7128"/>
        <color rgb="FFFFEF9C"/>
      </colorScale>
    </cfRule>
  </conditionalFormatting>
  <conditionalFormatting sqref="U12:V12 Z12:XFD12 J12:S12 A12:H12">
    <cfRule type="colorScale" priority="849">
      <colorScale>
        <cfvo type="min"/>
        <cfvo type="max"/>
        <color theme="0"/>
        <color theme="5"/>
      </colorScale>
    </cfRule>
    <cfRule type="colorScale" priority="850">
      <colorScale>
        <cfvo type="min"/>
        <cfvo type="max"/>
        <color rgb="FFFF7128"/>
        <color rgb="FFFFEF9C"/>
      </colorScale>
    </cfRule>
  </conditionalFormatting>
  <conditionalFormatting sqref="U13:V13 Z13:XFD13 J13:S13 A13:H13">
    <cfRule type="colorScale" priority="859">
      <colorScale>
        <cfvo type="min"/>
        <cfvo type="max"/>
        <color theme="0"/>
        <color theme="5"/>
      </colorScale>
    </cfRule>
    <cfRule type="colorScale" priority="860">
      <colorScale>
        <cfvo type="min"/>
        <cfvo type="max"/>
        <color rgb="FFFF7128"/>
        <color rgb="FFFFEF9C"/>
      </colorScale>
    </cfRule>
  </conditionalFormatting>
  <conditionalFormatting sqref="U14:V14 Z14:XFD14 J14:S14 A14:H14">
    <cfRule type="colorScale" priority="869">
      <colorScale>
        <cfvo type="min"/>
        <cfvo type="max"/>
        <color theme="0"/>
        <color theme="5"/>
      </colorScale>
    </cfRule>
    <cfRule type="colorScale" priority="870">
      <colorScale>
        <cfvo type="min"/>
        <cfvo type="max"/>
        <color rgb="FFFF7128"/>
        <color rgb="FFFFEF9C"/>
      </colorScale>
    </cfRule>
  </conditionalFormatting>
  <conditionalFormatting sqref="U15:V15 Z15:XFD15 J15:S15 A15:H15">
    <cfRule type="colorScale" priority="879">
      <colorScale>
        <cfvo type="min"/>
        <cfvo type="max"/>
        <color theme="0"/>
        <color theme="5"/>
      </colorScale>
    </cfRule>
    <cfRule type="colorScale" priority="880">
      <colorScale>
        <cfvo type="min"/>
        <cfvo type="max"/>
        <color rgb="FFFF7128"/>
        <color rgb="FFFFEF9C"/>
      </colorScale>
    </cfRule>
  </conditionalFormatting>
  <conditionalFormatting sqref="U16:V16 Z16:XFD16 J16:S16 A16:H16">
    <cfRule type="colorScale" priority="889">
      <colorScale>
        <cfvo type="min"/>
        <cfvo type="max"/>
        <color theme="0"/>
        <color theme="5"/>
      </colorScale>
    </cfRule>
    <cfRule type="colorScale" priority="890">
      <colorScale>
        <cfvo type="min"/>
        <cfvo type="max"/>
        <color rgb="FFFF7128"/>
        <color rgb="FFFFEF9C"/>
      </colorScale>
    </cfRule>
  </conditionalFormatting>
  <conditionalFormatting sqref="U17:V17 Z17:XFD17 J17:S17 A17:H17">
    <cfRule type="colorScale" priority="899">
      <colorScale>
        <cfvo type="min"/>
        <cfvo type="max"/>
        <color theme="0"/>
        <color theme="5"/>
      </colorScale>
    </cfRule>
    <cfRule type="colorScale" priority="900">
      <colorScale>
        <cfvo type="min"/>
        <cfvo type="max"/>
        <color rgb="FFFF7128"/>
        <color rgb="FFFFEF9C"/>
      </colorScale>
    </cfRule>
  </conditionalFormatting>
  <conditionalFormatting sqref="U18:V18 Z18:XFD18 J18:S18 A18:H18">
    <cfRule type="colorScale" priority="909">
      <colorScale>
        <cfvo type="min"/>
        <cfvo type="max"/>
        <color theme="0"/>
        <color theme="5"/>
      </colorScale>
    </cfRule>
    <cfRule type="colorScale" priority="910">
      <colorScale>
        <cfvo type="min"/>
        <cfvo type="max"/>
        <color rgb="FFFF7128"/>
        <color rgb="FFFFEF9C"/>
      </colorScale>
    </cfRule>
  </conditionalFormatting>
  <conditionalFormatting sqref="U19:V19 Z19:XFD19 J19:S19 A19:H19">
    <cfRule type="colorScale" priority="919">
      <colorScale>
        <cfvo type="min"/>
        <cfvo type="max"/>
        <color theme="0"/>
        <color theme="5"/>
      </colorScale>
    </cfRule>
    <cfRule type="colorScale" priority="920">
      <colorScale>
        <cfvo type="min"/>
        <cfvo type="max"/>
        <color rgb="FFFF7128"/>
        <color rgb="FFFFEF9C"/>
      </colorScale>
    </cfRule>
  </conditionalFormatting>
  <conditionalFormatting sqref="U22:V22 Z22:XFD22 J22:S22 A22:H22">
    <cfRule type="colorScale" priority="929">
      <colorScale>
        <cfvo type="min"/>
        <cfvo type="max"/>
        <color theme="0"/>
        <color theme="5"/>
      </colorScale>
    </cfRule>
    <cfRule type="colorScale" priority="930">
      <colorScale>
        <cfvo type="min"/>
        <cfvo type="max"/>
        <color rgb="FFFF7128"/>
        <color rgb="FFFFEF9C"/>
      </colorScale>
    </cfRule>
  </conditionalFormatting>
  <conditionalFormatting sqref="U25:V25 Z25:XFD25 J25:S25 A25:H25">
    <cfRule type="colorScale" priority="939">
      <colorScale>
        <cfvo type="min"/>
        <cfvo type="max"/>
        <color theme="0"/>
        <color theme="5"/>
      </colorScale>
    </cfRule>
    <cfRule type="colorScale" priority="940">
      <colorScale>
        <cfvo type="min"/>
        <cfvo type="max"/>
        <color rgb="FFFF7128"/>
        <color rgb="FFFFEF9C"/>
      </colorScale>
    </cfRule>
  </conditionalFormatting>
  <conditionalFormatting sqref="U26:V26 Z26:XFD26 J26:S26 A26:H26">
    <cfRule type="colorScale" priority="949">
      <colorScale>
        <cfvo type="min"/>
        <cfvo type="max"/>
        <color theme="0"/>
        <color theme="5"/>
      </colorScale>
    </cfRule>
    <cfRule type="colorScale" priority="950">
      <colorScale>
        <cfvo type="min"/>
        <cfvo type="max"/>
        <color rgb="FFFF7128"/>
        <color rgb="FFFFEF9C"/>
      </colorScale>
    </cfRule>
  </conditionalFormatting>
  <conditionalFormatting sqref="U27:V27 Z27:XFD27 J27:S27 A27:H27">
    <cfRule type="colorScale" priority="959">
      <colorScale>
        <cfvo type="min"/>
        <cfvo type="max"/>
        <color theme="0"/>
        <color theme="5"/>
      </colorScale>
    </cfRule>
    <cfRule type="colorScale" priority="960">
      <colorScale>
        <cfvo type="min"/>
        <cfvo type="max"/>
        <color rgb="FFFF7128"/>
        <color rgb="FFFFEF9C"/>
      </colorScale>
    </cfRule>
  </conditionalFormatting>
  <conditionalFormatting sqref="U28:V28 Z28:XFD28 J28:S28 A28:H28">
    <cfRule type="colorScale" priority="969">
      <colorScale>
        <cfvo type="min"/>
        <cfvo type="max"/>
        <color theme="0"/>
        <color theme="5"/>
      </colorScale>
    </cfRule>
    <cfRule type="colorScale" priority="970">
      <colorScale>
        <cfvo type="min"/>
        <cfvo type="max"/>
        <color rgb="FFFF7128"/>
        <color rgb="FFFFEF9C"/>
      </colorScale>
    </cfRule>
  </conditionalFormatting>
  <conditionalFormatting sqref="U29:V29 Z29:XFD29 J29:S29 A29:H29">
    <cfRule type="colorScale" priority="979">
      <colorScale>
        <cfvo type="min"/>
        <cfvo type="max"/>
        <color theme="0"/>
        <color theme="5"/>
      </colorScale>
    </cfRule>
    <cfRule type="colorScale" priority="980">
      <colorScale>
        <cfvo type="min"/>
        <cfvo type="max"/>
        <color rgb="FFFF7128"/>
        <color rgb="FFFFEF9C"/>
      </colorScale>
    </cfRule>
  </conditionalFormatting>
  <conditionalFormatting sqref="U30:V30 Z30:XFD30 J30:S30 A30:H30">
    <cfRule type="colorScale" priority="989">
      <colorScale>
        <cfvo type="min"/>
        <cfvo type="max"/>
        <color theme="0"/>
        <color theme="5"/>
      </colorScale>
    </cfRule>
    <cfRule type="colorScale" priority="990">
      <colorScale>
        <cfvo type="min"/>
        <cfvo type="max"/>
        <color rgb="FFFF7128"/>
        <color rgb="FFFFEF9C"/>
      </colorScale>
    </cfRule>
  </conditionalFormatting>
  <conditionalFormatting sqref="U31:V31 Z31:XFD31 J31:S31 A31:H31">
    <cfRule type="colorScale" priority="999">
      <colorScale>
        <cfvo type="min"/>
        <cfvo type="max"/>
        <color theme="0"/>
        <color theme="5"/>
      </colorScale>
    </cfRule>
    <cfRule type="colorScale" priority="1000">
      <colorScale>
        <cfvo type="min"/>
        <cfvo type="max"/>
        <color rgb="FFFF7128"/>
        <color rgb="FFFFEF9C"/>
      </colorScale>
    </cfRule>
  </conditionalFormatting>
  <conditionalFormatting sqref="U32:V32 Z32:XFD32 J32:S32 A32:H32">
    <cfRule type="colorScale" priority="1009">
      <colorScale>
        <cfvo type="min"/>
        <cfvo type="max"/>
        <color theme="0"/>
        <color theme="5"/>
      </colorScale>
    </cfRule>
    <cfRule type="colorScale" priority="1010">
      <colorScale>
        <cfvo type="min"/>
        <cfvo type="max"/>
        <color rgb="FFFF7128"/>
        <color rgb="FFFFEF9C"/>
      </colorScale>
    </cfRule>
  </conditionalFormatting>
  <conditionalFormatting sqref="U33:V33 Z33:XFD33 J33:S33 A33:H33">
    <cfRule type="colorScale" priority="1019">
      <colorScale>
        <cfvo type="min"/>
        <cfvo type="max"/>
        <color theme="0"/>
        <color theme="5"/>
      </colorScale>
    </cfRule>
    <cfRule type="colorScale" priority="1020">
      <colorScale>
        <cfvo type="min"/>
        <cfvo type="max"/>
        <color rgb="FFFF7128"/>
        <color rgb="FFFFEF9C"/>
      </colorScale>
    </cfRule>
  </conditionalFormatting>
  <conditionalFormatting sqref="U34:V34 Z34:XFD34 J34:S34 A34:H34">
    <cfRule type="colorScale" priority="1029">
      <colorScale>
        <cfvo type="min"/>
        <cfvo type="max"/>
        <color theme="0"/>
        <color theme="5"/>
      </colorScale>
    </cfRule>
    <cfRule type="colorScale" priority="1030">
      <colorScale>
        <cfvo type="min"/>
        <cfvo type="max"/>
        <color rgb="FFFF7128"/>
        <color rgb="FFFFEF9C"/>
      </colorScale>
    </cfRule>
  </conditionalFormatting>
  <conditionalFormatting sqref="U35:V35 Z35:XFD35 J35:S35 A35:H35">
    <cfRule type="colorScale" priority="1039">
      <colorScale>
        <cfvo type="min"/>
        <cfvo type="max"/>
        <color theme="0"/>
        <color theme="5"/>
      </colorScale>
    </cfRule>
    <cfRule type="colorScale" priority="1040">
      <colorScale>
        <cfvo type="min"/>
        <cfvo type="max"/>
        <color rgb="FFFF7128"/>
        <color rgb="FFFFEF9C"/>
      </colorScale>
    </cfRule>
  </conditionalFormatting>
  <conditionalFormatting sqref="U36:V36 Z36:XFD36 J36:S36 A36:H36">
    <cfRule type="colorScale" priority="1049">
      <colorScale>
        <cfvo type="min"/>
        <cfvo type="max"/>
        <color theme="0"/>
        <color theme="5"/>
      </colorScale>
    </cfRule>
    <cfRule type="colorScale" priority="1050">
      <colorScale>
        <cfvo type="min"/>
        <cfvo type="max"/>
        <color rgb="FFFF7128"/>
        <color rgb="FFFFEF9C"/>
      </colorScale>
    </cfRule>
  </conditionalFormatting>
  <conditionalFormatting sqref="U37:V37 Z37:XFD37 J37:S37 A37:H37">
    <cfRule type="colorScale" priority="1059">
      <colorScale>
        <cfvo type="min"/>
        <cfvo type="max"/>
        <color theme="0"/>
        <color theme="5"/>
      </colorScale>
    </cfRule>
    <cfRule type="colorScale" priority="1060">
      <colorScale>
        <cfvo type="min"/>
        <cfvo type="max"/>
        <color rgb="FFFF7128"/>
        <color rgb="FFFFEF9C"/>
      </colorScale>
    </cfRule>
  </conditionalFormatting>
  <conditionalFormatting sqref="U38:V38 Z38:XFD38 J38:S38 A38:H38">
    <cfRule type="colorScale" priority="1069">
      <colorScale>
        <cfvo type="min"/>
        <cfvo type="max"/>
        <color theme="0"/>
        <color theme="5"/>
      </colorScale>
    </cfRule>
    <cfRule type="colorScale" priority="1070">
      <colorScale>
        <cfvo type="min"/>
        <cfvo type="max"/>
        <color rgb="FFFF7128"/>
        <color rgb="FFFFEF9C"/>
      </colorScale>
    </cfRule>
  </conditionalFormatting>
  <conditionalFormatting sqref="U39:V39 Z39:XFD39 J39:S39 A39:H39">
    <cfRule type="colorScale" priority="1079">
      <colorScale>
        <cfvo type="min"/>
        <cfvo type="max"/>
        <color theme="0"/>
        <color theme="5"/>
      </colorScale>
    </cfRule>
    <cfRule type="colorScale" priority="1080">
      <colorScale>
        <cfvo type="min"/>
        <cfvo type="max"/>
        <color rgb="FFFF7128"/>
        <color rgb="FFFFEF9C"/>
      </colorScale>
    </cfRule>
  </conditionalFormatting>
  <conditionalFormatting sqref="P4:S4 U4:V4 Z4:AA4 J4:N4 B4:H4">
    <cfRule type="colorScale" priority="1089">
      <colorScale>
        <cfvo type="min"/>
        <cfvo type="max"/>
        <color theme="0"/>
        <color theme="5"/>
      </colorScale>
    </cfRule>
    <cfRule type="colorScale" priority="1090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B437-78B5-4BC2-B4E3-5095F0061CEE}">
  <dimension ref="A1:M8"/>
  <sheetViews>
    <sheetView workbookViewId="0">
      <selection activeCell="K1" sqref="K1:K1048576"/>
    </sheetView>
  </sheetViews>
  <sheetFormatPr defaultRowHeight="13.9" x14ac:dyDescent="0.4"/>
  <cols>
    <col min="11" max="11" width="8.6640625" customWidth="1"/>
  </cols>
  <sheetData>
    <row r="1" spans="1:13" x14ac:dyDescent="0.4">
      <c r="A1" s="3" t="s">
        <v>0</v>
      </c>
      <c r="B1" s="3" t="s">
        <v>3</v>
      </c>
      <c r="C1" s="3" t="s">
        <v>4</v>
      </c>
      <c r="D1" s="3" t="s">
        <v>4</v>
      </c>
      <c r="E1" s="3" t="s">
        <v>3</v>
      </c>
      <c r="F1" s="3" t="s">
        <v>5</v>
      </c>
      <c r="G1" s="3" t="s">
        <v>3</v>
      </c>
      <c r="H1" s="3" t="s">
        <v>7</v>
      </c>
      <c r="I1" s="3" t="s">
        <v>8</v>
      </c>
      <c r="J1" s="3" t="s">
        <v>3</v>
      </c>
      <c r="K1" s="3" t="s">
        <v>10</v>
      </c>
      <c r="L1" s="3" t="s">
        <v>11</v>
      </c>
      <c r="M1" s="3" t="s">
        <v>9</v>
      </c>
    </row>
    <row r="2" spans="1:13" x14ac:dyDescent="0.4">
      <c r="A2" s="4" t="s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19</v>
      </c>
      <c r="I2" s="4" t="s">
        <v>20</v>
      </c>
      <c r="J2" s="4" t="s">
        <v>22</v>
      </c>
      <c r="K2" s="4" t="s">
        <v>23</v>
      </c>
      <c r="L2" s="4" t="s">
        <v>24</v>
      </c>
      <c r="M2" s="4" t="s">
        <v>26</v>
      </c>
    </row>
    <row r="3" spans="1:13" x14ac:dyDescent="0.4">
      <c r="A3" s="3" t="s">
        <v>27</v>
      </c>
      <c r="B3" s="3">
        <v>0</v>
      </c>
      <c r="C3" s="3">
        <v>9560</v>
      </c>
      <c r="D3" s="3">
        <v>5057</v>
      </c>
      <c r="E3" s="3">
        <v>13340</v>
      </c>
      <c r="F3" s="3">
        <v>14886</v>
      </c>
      <c r="G3" s="3">
        <v>10552</v>
      </c>
      <c r="H3" s="3">
        <v>6840</v>
      </c>
      <c r="I3" s="3">
        <v>10202</v>
      </c>
      <c r="J3" s="3">
        <v>14880</v>
      </c>
      <c r="K3" s="3">
        <v>13588</v>
      </c>
      <c r="L3" s="3"/>
      <c r="M3" s="3">
        <v>12752</v>
      </c>
    </row>
    <row r="4" spans="1:13" x14ac:dyDescent="0.4">
      <c r="A4" s="4" t="s">
        <v>28</v>
      </c>
      <c r="B4" s="4">
        <v>0</v>
      </c>
      <c r="C4" s="4">
        <v>9174</v>
      </c>
      <c r="D4" s="4">
        <v>8511</v>
      </c>
      <c r="E4" s="4">
        <v>13418</v>
      </c>
      <c r="F4" s="4">
        <v>13178</v>
      </c>
      <c r="G4" s="4">
        <v>9902</v>
      </c>
      <c r="H4" s="4">
        <v>6832</v>
      </c>
      <c r="I4" s="4">
        <v>9796</v>
      </c>
      <c r="J4" s="4">
        <v>13000</v>
      </c>
      <c r="K4" s="4">
        <v>14300</v>
      </c>
      <c r="L4" s="4"/>
      <c r="M4" s="4">
        <v>10760</v>
      </c>
    </row>
    <row r="5" spans="1:13" x14ac:dyDescent="0.4">
      <c r="A5" s="3" t="s">
        <v>29</v>
      </c>
      <c r="B5" s="3">
        <f>SUM(B3:B4)</f>
        <v>0</v>
      </c>
      <c r="C5" s="3">
        <f t="shared" ref="C5:K5" si="0">SUM(C3:C4)</f>
        <v>18734</v>
      </c>
      <c r="D5" s="3">
        <f t="shared" si="0"/>
        <v>13568</v>
      </c>
      <c r="E5" s="3">
        <f t="shared" si="0"/>
        <v>26758</v>
      </c>
      <c r="F5" s="3">
        <f t="shared" si="0"/>
        <v>28064</v>
      </c>
      <c r="G5" s="3">
        <f t="shared" si="0"/>
        <v>20454</v>
      </c>
      <c r="H5" s="3">
        <f t="shared" si="0"/>
        <v>13672</v>
      </c>
      <c r="I5" s="3">
        <f t="shared" si="0"/>
        <v>19998</v>
      </c>
      <c r="J5" s="3">
        <f t="shared" si="0"/>
        <v>27880</v>
      </c>
      <c r="K5" s="3">
        <f t="shared" si="0"/>
        <v>27888</v>
      </c>
      <c r="L5" s="3"/>
      <c r="M5" s="3">
        <f>SUM(M3:M4)</f>
        <v>23512</v>
      </c>
    </row>
    <row r="6" spans="1:13" x14ac:dyDescent="0.4">
      <c r="A6" s="4" t="s">
        <v>30</v>
      </c>
      <c r="B6" s="4">
        <v>0</v>
      </c>
      <c r="C6" s="4">
        <v>0</v>
      </c>
      <c r="D6" s="4">
        <v>-1500</v>
      </c>
      <c r="E6" s="4">
        <v>-500</v>
      </c>
      <c r="F6" s="4">
        <v>0</v>
      </c>
      <c r="G6" s="4">
        <v>0</v>
      </c>
      <c r="H6" s="4">
        <v>-1500</v>
      </c>
      <c r="I6" s="4">
        <v>-1000</v>
      </c>
      <c r="J6" s="4">
        <v>-500</v>
      </c>
      <c r="K6" s="4">
        <v>-500</v>
      </c>
      <c r="L6" s="4"/>
      <c r="M6" s="4">
        <v>-1000</v>
      </c>
    </row>
    <row r="7" spans="1:13" x14ac:dyDescent="0.4">
      <c r="A7" s="3" t="s">
        <v>31</v>
      </c>
      <c r="B7" s="3">
        <f>SUM(B5:B6)</f>
        <v>0</v>
      </c>
      <c r="C7" s="3">
        <f t="shared" ref="C7:K7" si="1">SUM(C5:C6)</f>
        <v>18734</v>
      </c>
      <c r="D7" s="3">
        <f t="shared" si="1"/>
        <v>12068</v>
      </c>
      <c r="E7" s="3">
        <f t="shared" si="1"/>
        <v>26258</v>
      </c>
      <c r="F7" s="3">
        <f t="shared" si="1"/>
        <v>28064</v>
      </c>
      <c r="G7" s="3">
        <f t="shared" si="1"/>
        <v>20454</v>
      </c>
      <c r="H7" s="3">
        <f t="shared" si="1"/>
        <v>12172</v>
      </c>
      <c r="I7" s="3">
        <f t="shared" si="1"/>
        <v>18998</v>
      </c>
      <c r="J7" s="3">
        <f t="shared" si="1"/>
        <v>27380</v>
      </c>
      <c r="K7" s="3">
        <f t="shared" si="1"/>
        <v>27388</v>
      </c>
      <c r="L7" s="3"/>
      <c r="M7" s="3">
        <f>SUM(M5:M6)</f>
        <v>22512</v>
      </c>
    </row>
    <row r="8" spans="1:13" x14ac:dyDescent="0.4">
      <c r="A8" s="4" t="s">
        <v>32</v>
      </c>
      <c r="B8" s="4">
        <f>J7-B7</f>
        <v>27380</v>
      </c>
      <c r="C8" s="4">
        <f>J7-C7</f>
        <v>8646</v>
      </c>
      <c r="D8" s="4">
        <f>J7-D7</f>
        <v>15312</v>
      </c>
      <c r="E8" s="4">
        <f>J7-E7</f>
        <v>1122</v>
      </c>
      <c r="F8" s="4">
        <f>J7-F7</f>
        <v>-684</v>
      </c>
      <c r="G8" s="4">
        <f>J7-G7</f>
        <v>6926</v>
      </c>
      <c r="H8" s="4">
        <f>J7-H7</f>
        <v>15208</v>
      </c>
      <c r="I8" s="4">
        <f>J7-I7</f>
        <v>8382</v>
      </c>
      <c r="J8" s="4">
        <v>0</v>
      </c>
      <c r="K8" s="4">
        <f>J7-K7</f>
        <v>-8</v>
      </c>
      <c r="L8" s="4"/>
      <c r="M8" s="4">
        <f>J7-M7</f>
        <v>4868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B8C5-0FFA-41D5-9BE3-CCA26F8267D3}">
  <dimension ref="A1:C23"/>
  <sheetViews>
    <sheetView workbookViewId="0">
      <selection activeCell="C26" sqref="C26"/>
    </sheetView>
  </sheetViews>
  <sheetFormatPr defaultRowHeight="13.9" x14ac:dyDescent="0.4"/>
  <sheetData>
    <row r="1" spans="1:3" x14ac:dyDescent="0.4">
      <c r="B1" s="14" t="s">
        <v>34</v>
      </c>
      <c r="C1" s="14"/>
    </row>
    <row r="2" spans="1:3" x14ac:dyDescent="0.4">
      <c r="B2" t="s">
        <v>35</v>
      </c>
      <c r="C2" t="s">
        <v>36</v>
      </c>
    </row>
    <row r="3" spans="1:3" x14ac:dyDescent="0.4">
      <c r="A3">
        <v>1</v>
      </c>
      <c r="B3">
        <v>564</v>
      </c>
      <c r="C3">
        <v>550</v>
      </c>
    </row>
    <row r="4" spans="1:3" x14ac:dyDescent="0.4">
      <c r="A4">
        <v>2</v>
      </c>
      <c r="B4">
        <v>550</v>
      </c>
      <c r="C4">
        <v>552</v>
      </c>
    </row>
    <row r="5" spans="1:3" x14ac:dyDescent="0.4">
      <c r="A5">
        <v>3</v>
      </c>
      <c r="B5">
        <v>550</v>
      </c>
      <c r="C5">
        <v>552</v>
      </c>
    </row>
    <row r="6" spans="1:3" x14ac:dyDescent="0.4">
      <c r="A6">
        <v>4</v>
      </c>
      <c r="B6">
        <v>550</v>
      </c>
      <c r="C6">
        <v>534</v>
      </c>
    </row>
    <row r="7" spans="1:3" x14ac:dyDescent="0.4">
      <c r="A7">
        <v>5</v>
      </c>
      <c r="B7">
        <v>550</v>
      </c>
      <c r="C7">
        <v>536</v>
      </c>
    </row>
    <row r="8" spans="1:3" x14ac:dyDescent="0.4">
      <c r="A8">
        <v>6</v>
      </c>
      <c r="B8">
        <v>552</v>
      </c>
      <c r="C8">
        <v>560</v>
      </c>
    </row>
    <row r="9" spans="1:3" x14ac:dyDescent="0.4">
      <c r="A9">
        <v>7</v>
      </c>
      <c r="B9">
        <v>544</v>
      </c>
      <c r="C9">
        <v>546</v>
      </c>
    </row>
    <row r="10" spans="1:3" x14ac:dyDescent="0.4">
      <c r="A10">
        <v>8</v>
      </c>
      <c r="B10">
        <v>698</v>
      </c>
      <c r="C10">
        <v>667</v>
      </c>
    </row>
    <row r="11" spans="1:3" x14ac:dyDescent="0.4">
      <c r="A11">
        <v>9</v>
      </c>
      <c r="B11">
        <v>698</v>
      </c>
      <c r="C11">
        <v>668</v>
      </c>
    </row>
    <row r="12" spans="1:3" x14ac:dyDescent="0.4">
      <c r="A12">
        <v>10</v>
      </c>
      <c r="B12">
        <v>698</v>
      </c>
      <c r="C12">
        <v>668</v>
      </c>
    </row>
    <row r="13" spans="1:3" x14ac:dyDescent="0.4">
      <c r="A13">
        <v>11</v>
      </c>
      <c r="B13">
        <v>698</v>
      </c>
      <c r="C13">
        <v>663</v>
      </c>
    </row>
    <row r="14" spans="1:3" x14ac:dyDescent="0.4">
      <c r="A14">
        <v>12</v>
      </c>
      <c r="B14">
        <v>698</v>
      </c>
      <c r="C14">
        <v>660</v>
      </c>
    </row>
    <row r="15" spans="1:3" x14ac:dyDescent="0.4">
      <c r="A15">
        <v>13</v>
      </c>
      <c r="B15">
        <v>698</v>
      </c>
      <c r="C15">
        <v>664</v>
      </c>
    </row>
    <row r="16" spans="1:3" x14ac:dyDescent="0.4">
      <c r="A16">
        <v>14</v>
      </c>
      <c r="B16">
        <v>698</v>
      </c>
      <c r="C16">
        <v>674</v>
      </c>
    </row>
    <row r="17" spans="1:3" x14ac:dyDescent="0.4">
      <c r="A17">
        <v>15</v>
      </c>
      <c r="B17">
        <v>604</v>
      </c>
      <c r="C17">
        <v>626</v>
      </c>
    </row>
    <row r="18" spans="1:3" x14ac:dyDescent="0.4">
      <c r="A18">
        <v>16</v>
      </c>
      <c r="B18">
        <v>604</v>
      </c>
      <c r="C18">
        <v>628</v>
      </c>
    </row>
    <row r="19" spans="1:3" x14ac:dyDescent="0.4">
      <c r="A19">
        <v>17</v>
      </c>
      <c r="B19">
        <v>604</v>
      </c>
      <c r="C19">
        <v>626</v>
      </c>
    </row>
    <row r="20" spans="1:3" x14ac:dyDescent="0.4">
      <c r="A20">
        <v>18</v>
      </c>
      <c r="B20">
        <v>624</v>
      </c>
      <c r="C20">
        <v>624</v>
      </c>
    </row>
    <row r="21" spans="1:3" x14ac:dyDescent="0.4">
      <c r="A21">
        <v>19</v>
      </c>
      <c r="B21">
        <v>626</v>
      </c>
      <c r="C21">
        <v>628</v>
      </c>
    </row>
    <row r="22" spans="1:3" x14ac:dyDescent="0.4">
      <c r="A22">
        <v>20</v>
      </c>
      <c r="B22">
        <v>626</v>
      </c>
      <c r="C22">
        <v>626</v>
      </c>
    </row>
    <row r="23" spans="1:3" x14ac:dyDescent="0.4">
      <c r="A23" t="s">
        <v>37</v>
      </c>
      <c r="B23">
        <f>SUM(B3:B22)</f>
        <v>12434</v>
      </c>
      <c r="C23">
        <f>SUM(C3:C22)</f>
        <v>12252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总分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G</dc:creator>
  <cp:lastModifiedBy>Siyu Liu</cp:lastModifiedBy>
  <dcterms:created xsi:type="dcterms:W3CDTF">2015-06-05T18:19:34Z</dcterms:created>
  <dcterms:modified xsi:type="dcterms:W3CDTF">2025-10-18T05:44:01Z</dcterms:modified>
</cp:coreProperties>
</file>